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722" codeName="{00000000-0000-0000-0000-000000000000}"/>
  <workbookPr showInkAnnotation="0" codeName="ThisWorkbook" autoCompressPictures="0"/>
  <bookViews>
    <workbookView xWindow="10180" yWindow="6060" windowWidth="19040" windowHeight="15260" tabRatio="959" firstSheet="2" activeTab="2"/>
  </bookViews>
  <sheets>
    <sheet name="PopCache_Sheet1" sheetId="4" state="veryHidden" r:id="rId1"/>
    <sheet name="BneLog" sheetId="5" state="veryHidden" r:id="rId2"/>
    <sheet name="Intercompany Journal" sheetId="1" r:id="rId3"/>
    <sheet name="Instructions" sheetId="8" r:id="rId4"/>
    <sheet name="Intercompany Accounting" sheetId="10" r:id="rId5"/>
  </sheets>
  <definedNames>
    <definedName name="BNE_MESSAGES" localSheetId="2" hidden="1">'Intercompany Journal'!$L$20:$L$208</definedName>
    <definedName name="BNE_MESSAGES_HIDDEN" hidden="1">'Intercompany Journal'!$M$20:$M$208</definedName>
    <definedName name="BNE_MESSAGES_LAMP" localSheetId="2" hidden="1">'Intercompany Journal'!$K$20:$K$208</definedName>
    <definedName name="BNE_UPLOAD" localSheetId="2" hidden="1">'Intercompany Journal'!$B$20:$B$208</definedName>
    <definedName name="GL_INTERFACE_ACCOUNTING_DATE" localSheetId="2" hidden="1">'Intercompany Journal'!$I$11</definedName>
    <definedName name="GL_INTERFACE_ACTUAL_FLAG" localSheetId="2" hidden="1">'Intercompany Journal'!$G$4</definedName>
    <definedName name="GL_INTERFACE_CURRENCY_CODE" localSheetId="2" hidden="1">'Intercompany Journal'!$I$10</definedName>
    <definedName name="GL_INTERFACE_DATABASE" localSheetId="2" hidden="1">'Intercompany Journal'!$G$5</definedName>
    <definedName name="GL_INTERFACE_ENTERED_CR" localSheetId="2" hidden="1">'Intercompany Journal'!$I$20:$I$208</definedName>
    <definedName name="GL_INTERFACE_ENTERED_DR" localSheetId="2" hidden="1">'Intercompany Journal'!$H$20:$H$208</definedName>
    <definedName name="GL_INTERFACE_PERIOD_NAME" localSheetId="2" hidden="1">'Intercompany Journal'!$I$12</definedName>
    <definedName name="GL_INTERFACE_REFERENCE10" localSheetId="2" hidden="1">'Intercompany Journal'!$J$20:$J$208</definedName>
    <definedName name="GL_INTERFACE_REFERENCE4" localSheetId="2" hidden="1">'Intercompany Journal'!$I$13</definedName>
    <definedName name="GL_INTERFACE_REFERENCE5" localSheetId="2" hidden="1">'Intercompany Journal'!$I$14</definedName>
    <definedName name="GL_INTERFACE_REFERENCE7" localSheetId="2" hidden="1">'Intercompany Journal'!$I$15</definedName>
    <definedName name="GL_INTERFACE_REFERENCE8" localSheetId="2" hidden="1">'Intercompany Journal'!$I$16</definedName>
    <definedName name="GL_INTERFACE_SEGMENT1" localSheetId="2" hidden="1">'Intercompany Journal'!$C$20:$C$208</definedName>
    <definedName name="GL_INTERFACE_SEGMENT2" localSheetId="2" hidden="1">'Intercompany Journal'!$D$20:$D$208</definedName>
    <definedName name="GL_INTERFACE_SEGMENT3" localSheetId="2" hidden="1">'Intercompany Journal'!$E$20:$E$208</definedName>
    <definedName name="GL_INTERFACE_SEGMENT4" localSheetId="2" hidden="1">'Intercompany Journal'!$F$20:$F$208</definedName>
    <definedName name="GL_INTERFACE_SEGMENT5" localSheetId="2" hidden="1">'Intercompany Journal'!$G$20:$G$208</definedName>
    <definedName name="GL_INTERFACE_SET_OF_BOOKS_ID" localSheetId="2" hidden="1">'Intercompany Journal'!$G$6</definedName>
    <definedName name="GL_INTERFACE_USER_JE_CATEGORY_NAME" localSheetId="2" hidden="1">'Intercompany Journal'!$I$8</definedName>
    <definedName name="GL_INTERFACE_USER_JE_SOURCE_NAME" localSheetId="2" hidden="1">'Intercompany Journal'!$I$9</definedName>
    <definedName name="PopCache_GL_INTERFACE_REFERENCE7">PopCache_Sheet1!$A$1:$A$2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3" i="1" l="1"/>
  <c r="I209" i="1"/>
  <c r="I2" i="1"/>
  <c r="H209" i="1"/>
  <c r="H2" i="1"/>
  <c r="H3" i="1"/>
  <c r="J2" i="1"/>
</calcChain>
</file>

<file path=xl/sharedStrings.xml><?xml version="1.0" encoding="utf-8"?>
<sst xmlns="http://schemas.openxmlformats.org/spreadsheetml/2006/main" count="222" uniqueCount="161">
  <si>
    <t>No</t>
  </si>
  <si>
    <t>Yes</t>
  </si>
  <si>
    <t>Balance Type</t>
  </si>
  <si>
    <t>Database</t>
  </si>
  <si>
    <t>Set of Books</t>
  </si>
  <si>
    <t>Actual</t>
  </si>
  <si>
    <t>PSA20483DB03.PS.GOV.UK.PROD3</t>
  </si>
  <si>
    <t>DCA Corporate</t>
  </si>
  <si>
    <t>Category</t>
  </si>
  <si>
    <t>Source</t>
  </si>
  <si>
    <t>Currency</t>
  </si>
  <si>
    <t>Accounting Date</t>
  </si>
  <si>
    <t>Period</t>
  </si>
  <si>
    <t>Journal Name</t>
  </si>
  <si>
    <t>Journal Description</t>
  </si>
  <si>
    <t>Reverse Journal</t>
  </si>
  <si>
    <t>Reversal Period</t>
  </si>
  <si>
    <t>* List - Text</t>
  </si>
  <si>
    <t>* List - Date</t>
  </si>
  <si>
    <t>List - Text</t>
  </si>
  <si>
    <t>Text</t>
  </si>
  <si>
    <t>Upl</t>
  </si>
  <si>
    <t>OPERATING UNIT</t>
  </si>
  <si>
    <t>BUSINESS ENTITY</t>
  </si>
  <si>
    <t>NATURAL ACCOUNT</t>
  </si>
  <si>
    <t>SUB ACCOUNT</t>
  </si>
  <si>
    <t>PROJECT</t>
  </si>
  <si>
    <t>Debit</t>
  </si>
  <si>
    <t>Credit</t>
  </si>
  <si>
    <t>Line Description</t>
  </si>
  <si>
    <t>Messages</t>
  </si>
  <si>
    <t>* Number</t>
  </si>
  <si>
    <t>Totals:</t>
  </si>
  <si>
    <t>Tip: This is not the end of the Template.  Unprotect the sheet and insert as many rows as needed.</t>
  </si>
  <si>
    <t>Spreadsheet</t>
  </si>
  <si>
    <t>GBP</t>
  </si>
  <si>
    <t>Loading a journal:</t>
  </si>
  <si>
    <t>Make sure you have allow or enable macros when you open the template up.</t>
  </si>
  <si>
    <t>If you have done that you should see either "Oracle" or "Add-ins" in your Excel menu bar, this is where you access the upload to Oracle:</t>
  </si>
  <si>
    <t>If "Oracle" - click Oracle &gt; Upload &gt;</t>
  </si>
  <si>
    <t xml:space="preserve"> &gt; Select the respsonibility from the two shown below, then proceed to the journal upload screen, click in validate before upload &gt; click upload</t>
  </si>
  <si>
    <t>If "Add-ins" - click Add-ins &gt; then click Oracle and follow the instructions above.</t>
  </si>
  <si>
    <t>Headers:</t>
  </si>
  <si>
    <t>All fields are spelling and case sensitive</t>
  </si>
  <si>
    <r>
      <t>Journal Category</t>
    </r>
    <r>
      <rPr>
        <sz val="10"/>
        <color indexed="18"/>
        <rFont val="Arial"/>
        <family val="2"/>
      </rPr>
      <t xml:space="preserve"> is likely to be one of: Accrued Costs, Accrued Income, Adjustment, Intercompany Transfer (this field will also generate a pick list if you double click it)</t>
    </r>
  </si>
  <si>
    <r>
      <rPr>
        <b/>
        <sz val="10"/>
        <color indexed="18"/>
        <rFont val="Arial"/>
        <family val="2"/>
      </rPr>
      <t>Journal Source</t>
    </r>
    <r>
      <rPr>
        <sz val="10"/>
        <color indexed="18"/>
        <rFont val="Arial"/>
        <family val="2"/>
      </rPr>
      <t xml:space="preserve"> is set to ‘Spreadsheet’ by default - don't change it. </t>
    </r>
    <r>
      <rPr>
        <b/>
        <sz val="10"/>
        <color indexed="18"/>
        <rFont val="Arial"/>
        <family val="2"/>
      </rPr>
      <t>Currency</t>
    </r>
    <r>
      <rPr>
        <sz val="10"/>
        <color indexed="18"/>
        <rFont val="Arial"/>
        <family val="2"/>
      </rPr>
      <t xml:space="preserve"> is set to GBP. Don't change it either.</t>
    </r>
  </si>
  <si>
    <r>
      <rPr>
        <sz val="10"/>
        <color indexed="18"/>
        <rFont val="Arial"/>
        <family val="2"/>
      </rPr>
      <t>Financial</t>
    </r>
    <r>
      <rPr>
        <b/>
        <sz val="10"/>
        <color indexed="18"/>
        <rFont val="Arial"/>
        <family val="2"/>
      </rPr>
      <t xml:space="preserve"> Period</t>
    </r>
    <r>
      <rPr>
        <sz val="10"/>
        <color indexed="18"/>
        <rFont val="Arial"/>
        <family val="2"/>
      </rPr>
      <t xml:space="preserve"> (and reversal period) should always be written like this: JAN 15-16 (this field will generate a pick list if you double click it)</t>
    </r>
  </si>
  <si>
    <r>
      <t xml:space="preserve">The </t>
    </r>
    <r>
      <rPr>
        <b/>
        <sz val="10"/>
        <color indexed="18"/>
        <rFont val="Arial"/>
        <family val="2"/>
      </rPr>
      <t>accounting date</t>
    </r>
    <r>
      <rPr>
        <sz val="10"/>
        <color indexed="18"/>
        <rFont val="Arial"/>
        <family val="2"/>
      </rPr>
      <t xml:space="preserve"> must be a date within the financial period (for JAN 15-16 any date between 1/1/16 and 31/1/16 is fine). (this field will generate a pick list if you double click it)</t>
    </r>
  </si>
  <si>
    <t xml:space="preserve">Reversing journals will be automatically reversed on or shortly after WD6 each month. (These fields should also generate a pick list if you double click it). </t>
  </si>
  <si>
    <t>Reversal period is linked to the financial period entered, so you need to complete that field first.</t>
  </si>
  <si>
    <r>
      <rPr>
        <b/>
        <sz val="10"/>
        <color indexed="18"/>
        <rFont val="Arial"/>
        <family val="2"/>
      </rPr>
      <t>Journal Name</t>
    </r>
    <r>
      <rPr>
        <sz val="10"/>
        <color indexed="18"/>
        <rFont val="Arial"/>
        <family val="2"/>
      </rPr>
      <t xml:space="preserve"> convention used across LAA, HMCTS, JAC and MOJ is as follows: BE (where you pay sits)_your initials_ddmmyyyy_no of journal that day.</t>
    </r>
  </si>
  <si>
    <t>an example is: NA185_MB_28012015_01</t>
  </si>
  <si>
    <t>Troubleshooting and common mistakes:</t>
  </si>
  <si>
    <t>When you are loading the journal you need to ensure that each row of data you want to load has a flag next to it, type shift+O to insert a flag if one is missing.</t>
  </si>
  <si>
    <t>Watch out for blank rows with flags, just delete the flags.</t>
  </si>
  <si>
    <t>The sub account and project code fields must be filled out properly in the format: nnn and nnnn (eg. 000 and 0000 for most things I imagine).</t>
  </si>
  <si>
    <t>The BE code and NAC must, of course be valid for your operating unit.</t>
  </si>
  <si>
    <t>Never input negative numbers, or DR and CR in the same row (eg. the classic mistake is to put zeros in the empty column.)</t>
  </si>
  <si>
    <t>Numbers should be input to no more than two decimal places, the formatting may hide this so you will need to click into the cell to see the full value entered.</t>
  </si>
  <si>
    <t>When loading journals there is box which needs ticking which is ‘validate before upload’ see picture below, then click upload.</t>
  </si>
  <si>
    <t xml:space="preserve">Ticking the box will force you correct your journal before it will actually load. </t>
  </si>
  <si>
    <t>If you don't correct any errors your journal will not load, despite the Oracle telling you that it has been successful.</t>
  </si>
  <si>
    <t>If you continue to get problems after a couple of goes, start again with a complete blank, fresh journal template.</t>
  </si>
  <si>
    <t>Please - Do not tamper with the other tick/radio boxes. They are fine just as they are.</t>
  </si>
  <si>
    <t>This template will only allow posting to OU10. It cannot be used for any other operating unit.</t>
  </si>
  <si>
    <t>(NB. In the case of accrued income there will be no PO number.)</t>
  </si>
  <si>
    <r>
      <t>Reversal Journal</t>
    </r>
    <r>
      <rPr>
        <sz val="10"/>
        <color indexed="18"/>
        <rFont val="Arial"/>
        <family val="2"/>
      </rPr>
      <t xml:space="preserve"> is Yes/No and should always be populated. If Yes, then you need to set the </t>
    </r>
    <r>
      <rPr>
        <b/>
        <sz val="10"/>
        <color indexed="18"/>
        <rFont val="Arial"/>
        <family val="2"/>
      </rPr>
      <t>Reversal Period</t>
    </r>
    <r>
      <rPr>
        <sz val="10"/>
        <color indexed="18"/>
        <rFont val="Arial"/>
        <family val="2"/>
      </rPr>
      <t xml:space="preserve"> for the next period eg. FEB 15-16. </t>
    </r>
  </si>
  <si>
    <t xml:space="preserve">Name of the organisation that money is owed to, eg. Cabinet Office or ATOS, a brief description of what it is, and if there is one, the PO number. </t>
  </si>
  <si>
    <r>
      <rPr>
        <b/>
        <sz val="10"/>
        <color indexed="18"/>
        <rFont val="Arial"/>
        <family val="2"/>
      </rPr>
      <t>Journal Description</t>
    </r>
    <r>
      <rPr>
        <sz val="10"/>
        <color indexed="18"/>
        <rFont val="Arial"/>
        <family val="2"/>
      </rPr>
      <t xml:space="preserve"> is free text. As is the the</t>
    </r>
    <r>
      <rPr>
        <b/>
        <sz val="10"/>
        <color indexed="18"/>
        <rFont val="Arial"/>
        <family val="2"/>
      </rPr>
      <t xml:space="preserve"> line description</t>
    </r>
    <r>
      <rPr>
        <sz val="10"/>
        <color indexed="18"/>
        <rFont val="Arial"/>
        <family val="2"/>
      </rPr>
      <t xml:space="preserve"> in the block below the headers. For accruals you should, </t>
    </r>
    <r>
      <rPr>
        <i/>
        <sz val="10"/>
        <color indexed="18"/>
        <rFont val="Arial"/>
        <family val="2"/>
      </rPr>
      <t>as a minimum,</t>
    </r>
    <r>
      <rPr>
        <sz val="10"/>
        <color indexed="18"/>
        <rFont val="Arial"/>
        <family val="2"/>
      </rPr>
      <t xml:space="preserve"> include: </t>
    </r>
  </si>
  <si>
    <t>There are check boxes at the top of the spreadsheet which will show whether DR and CR balance, and whether values have been rounded correctly (to 2 dp).</t>
  </si>
  <si>
    <t>Intercompany Transfer</t>
  </si>
  <si>
    <t>MoJ WebADI JE Finance - MOJ</t>
  </si>
  <si>
    <t>MoJ WebADI Journal Entry - MOJ</t>
  </si>
  <si>
    <t>What is it?</t>
  </si>
  <si>
    <t>It's a method for recognising charges between MOJ HQ and Executive Agencies without using invoices.</t>
  </si>
  <si>
    <t>Why do we do this?</t>
  </si>
  <si>
    <t>We don't need invoices because were all legally the same entity and have the same VAT number.</t>
  </si>
  <si>
    <t>Also, transactions between MOJ HQ and the Agencies do not need to be settled in cash.</t>
  </si>
  <si>
    <t>Issuing invoices is adminstratively time consuming, and correcting invoices is even more problematic. Intercompany accounting is quick and easy.</t>
  </si>
  <si>
    <t>Balances between agencies are usually settled via a net cash transfer. Transactions between NOMS and other agencies are usually via invoicing.</t>
  </si>
  <si>
    <r>
      <t>What about YJB and the Parole Board etc?</t>
    </r>
    <r>
      <rPr>
        <sz val="10"/>
        <rFont val="Arial"/>
      </rPr>
      <t xml:space="preserve"> Sorry these entities are not registered for VAT, you will need to invoice them. </t>
    </r>
  </si>
  <si>
    <t>They won't be able to recover VAT you charge them.</t>
  </si>
  <si>
    <t>What accounts should I use?</t>
  </si>
  <si>
    <t>This is side is expecting to receive the benefit</t>
  </si>
  <si>
    <t>This side is expecting to receive the cost</t>
  </si>
  <si>
    <t>OU</t>
  </si>
  <si>
    <t>DR/CR</t>
  </si>
  <si>
    <t>NAC</t>
  </si>
  <si>
    <t>Description</t>
  </si>
  <si>
    <t>10 - MOJ</t>
  </si>
  <si>
    <t>DEBIT</t>
  </si>
  <si>
    <t>811051</t>
  </si>
  <si>
    <t>Receivables MoJHQ from HMCTS</t>
  </si>
  <si>
    <t>&lt; Corresponds to &gt;</t>
  </si>
  <si>
    <t>20 - HMCTS</t>
  </si>
  <si>
    <t>CREDIT</t>
  </si>
  <si>
    <t>812061</t>
  </si>
  <si>
    <t>Payables HMCTS to MoJHQ</t>
  </si>
  <si>
    <t>811056</t>
  </si>
  <si>
    <t>Receivables MoJHQ From OPG</t>
  </si>
  <si>
    <t>60 - OPG</t>
  </si>
  <si>
    <t>Contact Julia Gray</t>
  </si>
  <si>
    <t>811057</t>
  </si>
  <si>
    <t>Receivables MoJHQ From CICA</t>
  </si>
  <si>
    <t>CICA</t>
  </si>
  <si>
    <t>Contact Mark Bettis</t>
  </si>
  <si>
    <t>811058</t>
  </si>
  <si>
    <t>Receivables MoJHQ from NOMS</t>
  </si>
  <si>
    <t>NOMS</t>
  </si>
  <si>
    <t>09750</t>
  </si>
  <si>
    <t>Payables NOMS to MOJ HQ</t>
  </si>
  <si>
    <t>811059</t>
  </si>
  <si>
    <t>Receivables MOJHQ from LAA</t>
  </si>
  <si>
    <t>65 - LAA</t>
  </si>
  <si>
    <t>828061</t>
  </si>
  <si>
    <t>Payables LAA to MoJHQ</t>
  </si>
  <si>
    <t>812051</t>
  </si>
  <si>
    <t>Receivables HMCTS from MoJHQ</t>
  </si>
  <si>
    <t>811061</t>
  </si>
  <si>
    <t>Payables MoJHQ to HMCTS</t>
  </si>
  <si>
    <t>828051</t>
  </si>
  <si>
    <t>Receivables LAA from MoJHQ</t>
  </si>
  <si>
    <t>811070</t>
  </si>
  <si>
    <t>Payables MOJHQ to LAA</t>
  </si>
  <si>
    <t>09754</t>
  </si>
  <si>
    <t>Receivables NOMS from MoJHQ</t>
  </si>
  <si>
    <t>811069</t>
  </si>
  <si>
    <t>Payables MoJHQ to NOMS</t>
  </si>
  <si>
    <t>811067</t>
  </si>
  <si>
    <t>Payables MoJHQ to CICA</t>
  </si>
  <si>
    <t>811066</t>
  </si>
  <si>
    <t>Payables MoJ To OPG</t>
  </si>
  <si>
    <t>What's the process?</t>
  </si>
  <si>
    <t>We do not post intercompany journal until both sides' journals have been produced</t>
  </si>
  <si>
    <t>Why? - This enables us to post the journals simulatenously to ensure the corresponding accounts are always equal to each other.</t>
  </si>
  <si>
    <r>
      <t xml:space="preserve">Always use </t>
    </r>
    <r>
      <rPr>
        <b/>
        <sz val="10"/>
        <rFont val="Arial"/>
        <family val="2"/>
      </rPr>
      <t>WW000</t>
    </r>
    <r>
      <rPr>
        <sz val="10"/>
        <rFont val="Arial"/>
      </rPr>
      <t xml:space="preserve"> for the intercompany account entry for MOJ, HMCTS and LAA.</t>
    </r>
  </si>
  <si>
    <t>Inside the old ARAMIS environment… MOJ, HMCTS and LAA</t>
  </si>
  <si>
    <t>1. Receiving body should draw up both sets of journals, liaising with the other body as required to obtain the cost centre (BE) and NAC.</t>
  </si>
  <si>
    <t>2. Receiving body sends both journals to the paying body to agree the costs.</t>
  </si>
  <si>
    <t>3. Costs agreed? Then send both journals to SSCL for posting (if you don't have authority send to Mark Bettis or Sylvia Turner).</t>
  </si>
  <si>
    <t>4. Check the journals were posted.</t>
  </si>
  <si>
    <t>With NOMS</t>
  </si>
  <si>
    <t>1. Receiving body should draw up their journal and send to counterparty for agreement.</t>
  </si>
  <si>
    <t>2. Counterparty send back agreement with a copy of their journal.</t>
  </si>
  <si>
    <t>With OPG</t>
  </si>
  <si>
    <t>1. Receiving body should draw up their journal and send to Julia Gray in OPG for agreement.</t>
  </si>
  <si>
    <t>2. Julia send back agreement with a copy of OPG journal.</t>
  </si>
  <si>
    <t>With CICA</t>
  </si>
  <si>
    <t>Speak to Mark Bettis before doing anything.</t>
  </si>
  <si>
    <t>3. Send your journals to SSCL for posting (if you don't have authority send to Mark Bettis or Martha McSweeney).</t>
  </si>
  <si>
    <t>3. Send both journals to Martha McSweeney for checking and posting.</t>
  </si>
  <si>
    <t>APR 16-17</t>
  </si>
  <si>
    <t>E</t>
  </si>
  <si>
    <t>R</t>
  </si>
  <si>
    <t>H</t>
  </si>
  <si>
    <t>S</t>
  </si>
  <si>
    <t>W</t>
  </si>
  <si>
    <t>O</t>
  </si>
  <si>
    <t>D</t>
  </si>
  <si>
    <t>A</t>
  </si>
  <si>
    <t>LEAVE THIS ROW 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</si>
</sst>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 #,##0.00_-;_-* &quot;-&quot;??_-;_-@_-"/>
    <numFmt numFmtId="164" formatCode="[Red]#,##0.00_);\(#,##0.00\)"/>
    <numFmt numFmtId="166" formatCode="_-* #,##0.0000_-;\-* #,##0.0000_-;_-* &quot;-&quot;??_-;_-@_-"/>
  </numFmts>
  <fonts count="26" x14ac:knownFonts="1">
    <font>
      <sz val="10"/>
      <name val="Arial"/>
    </font>
    <font>
      <sz val="10"/>
      <name val="Arial"/>
    </font>
    <font>
      <sz val="10"/>
      <color indexed="8"/>
      <name val="Arial"/>
      <family val="2"/>
    </font>
    <font>
      <b/>
      <sz val="8"/>
      <name val="Arial"/>
      <family val="2"/>
    </font>
    <font>
      <b/>
      <sz val="10"/>
      <color indexed="8"/>
      <name val="Arial"/>
      <family val="2"/>
    </font>
    <font>
      <b/>
      <sz val="10"/>
      <color indexed="42"/>
      <name val="Arial"/>
      <family val="2"/>
    </font>
    <font>
      <sz val="9"/>
      <color indexed="42"/>
      <name val="Arial"/>
      <family val="2"/>
    </font>
    <font>
      <sz val="10"/>
      <color indexed="8"/>
      <name val="Wingdings"/>
    </font>
    <font>
      <b/>
      <sz val="10"/>
      <color indexed="8"/>
      <name val="Arial"/>
      <family val="2"/>
    </font>
    <font>
      <sz val="8"/>
      <name val="Arial"/>
      <family val="2"/>
    </font>
    <font>
      <sz val="10"/>
      <color indexed="47"/>
      <name val="Arial"/>
      <family val="2"/>
    </font>
    <font>
      <sz val="10"/>
      <name val="Arial"/>
      <family val="2"/>
    </font>
    <font>
      <sz val="10"/>
      <color indexed="8"/>
      <name val="Arial"/>
      <family val="2"/>
    </font>
    <font>
      <sz val="9"/>
      <name val="Arial"/>
      <family val="2"/>
    </font>
    <font>
      <b/>
      <sz val="10"/>
      <color indexed="18"/>
      <name val="Arial"/>
      <family val="2"/>
    </font>
    <font>
      <sz val="10"/>
      <color indexed="18"/>
      <name val="Arial"/>
      <family val="2"/>
    </font>
    <font>
      <i/>
      <sz val="10"/>
      <color indexed="18"/>
      <name val="Arial"/>
      <family val="2"/>
    </font>
    <font>
      <b/>
      <sz val="10"/>
      <name val="Arial"/>
      <family val="2"/>
    </font>
    <font>
      <sz val="10"/>
      <name val="Arial"/>
      <family val="2"/>
    </font>
    <font>
      <u/>
      <sz val="10"/>
      <color theme="10"/>
      <name val="Arial"/>
      <family val="2"/>
    </font>
    <font>
      <b/>
      <sz val="11"/>
      <color theme="1"/>
      <name val="Calibri"/>
      <family val="2"/>
      <scheme val="minor"/>
    </font>
    <font>
      <sz val="11"/>
      <color rgb="FFFF0000"/>
      <name val="Calibri"/>
      <family val="2"/>
      <scheme val="minor"/>
    </font>
    <font>
      <sz val="10"/>
      <color theme="0"/>
      <name val="Arial"/>
      <family val="2"/>
    </font>
    <font>
      <b/>
      <sz val="10"/>
      <color rgb="FFFF0000"/>
      <name val="Arial"/>
      <family val="2"/>
    </font>
    <font>
      <sz val="10"/>
      <color rgb="FF000080"/>
      <name val="Arial"/>
      <family val="2"/>
    </font>
    <font>
      <b/>
      <sz val="10"/>
      <color rgb="FF000080"/>
      <name val="Arial"/>
      <family val="2"/>
    </font>
  </fonts>
  <fills count="15">
    <fill>
      <patternFill patternType="none"/>
    </fill>
    <fill>
      <patternFill patternType="gray125"/>
    </fill>
    <fill>
      <patternFill patternType="solid">
        <fgColor indexed="14"/>
        <bgColor indexed="64"/>
      </patternFill>
    </fill>
    <fill>
      <patternFill patternType="solid">
        <fgColor indexed="45"/>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indexed="22"/>
        <bgColor indexed="64"/>
      </patternFill>
    </fill>
    <fill>
      <patternFill patternType="solid">
        <fgColor indexed="65"/>
        <bgColor indexed="64"/>
      </patternFill>
    </fill>
    <fill>
      <patternFill patternType="solid">
        <fgColor indexed="44"/>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7" tint="0.79998168889431442"/>
        <bgColor indexed="64"/>
      </patternFill>
    </fill>
    <fill>
      <patternFill patternType="solid">
        <fgColor theme="0" tint="-0.14999847407452621"/>
        <bgColor indexed="64"/>
      </patternFill>
    </fill>
  </fills>
  <borders count="25">
    <border>
      <left/>
      <right/>
      <top/>
      <bottom/>
      <diagonal/>
    </border>
    <border>
      <left/>
      <right style="medium">
        <color auto="1"/>
      </right>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right style="medium">
        <color auto="1"/>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style="thin">
        <color auto="1"/>
      </top>
      <bottom style="thin">
        <color auto="1"/>
      </bottom>
      <diagonal/>
    </border>
    <border>
      <left/>
      <right style="medium">
        <color auto="1"/>
      </right>
      <top style="medium">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s>
  <cellStyleXfs count="5">
    <xf numFmtId="0" fontId="0" fillId="0" borderId="0"/>
    <xf numFmtId="0" fontId="11" fillId="0" borderId="0"/>
    <xf numFmtId="0" fontId="18" fillId="0" borderId="0"/>
    <xf numFmtId="43" fontId="1" fillId="0" borderId="0" applyFont="0" applyFill="0" applyBorder="0" applyAlignment="0" applyProtection="0"/>
    <xf numFmtId="0" fontId="19" fillId="0" borderId="0" applyNumberFormat="0" applyFill="0" applyBorder="0" applyAlignment="0" applyProtection="0"/>
  </cellStyleXfs>
  <cellXfs count="108">
    <xf numFmtId="0" fontId="0" fillId="0" borderId="0" xfId="0"/>
    <xf numFmtId="0" fontId="2" fillId="2" borderId="0" xfId="0" applyNumberFormat="1" applyFont="1" applyFill="1" applyAlignment="1" applyProtection="1"/>
    <xf numFmtId="49" fontId="2" fillId="2" borderId="0" xfId="0" applyNumberFormat="1" applyFont="1" applyFill="1" applyAlignment="1" applyProtection="1"/>
    <xf numFmtId="0" fontId="4" fillId="2" borderId="0" xfId="0" applyNumberFormat="1" applyFont="1" applyFill="1" applyAlignment="1" applyProtection="1"/>
    <xf numFmtId="49" fontId="4" fillId="2" borderId="0" xfId="0" applyNumberFormat="1" applyFont="1" applyFill="1" applyAlignment="1" applyProtection="1"/>
    <xf numFmtId="0" fontId="2" fillId="2" borderId="1" xfId="0" applyNumberFormat="1" applyFont="1" applyFill="1" applyBorder="1" applyAlignment="1" applyProtection="1"/>
    <xf numFmtId="0" fontId="5" fillId="3" borderId="2" xfId="0" applyNumberFormat="1" applyFont="1" applyFill="1" applyBorder="1" applyAlignment="1" applyProtection="1"/>
    <xf numFmtId="0" fontId="5" fillId="3" borderId="0" xfId="0" applyNumberFormat="1" applyFont="1" applyFill="1" applyBorder="1" applyAlignment="1" applyProtection="1"/>
    <xf numFmtId="0" fontId="5" fillId="3" borderId="3" xfId="0" applyNumberFormat="1" applyFont="1" applyFill="1" applyBorder="1" applyAlignment="1" applyProtection="1"/>
    <xf numFmtId="49" fontId="5" fillId="3" borderId="4" xfId="0" applyNumberFormat="1" applyFont="1" applyFill="1" applyBorder="1" applyAlignment="1" applyProtection="1"/>
    <xf numFmtId="49" fontId="5" fillId="3" borderId="5" xfId="0" applyNumberFormat="1" applyFont="1" applyFill="1" applyBorder="1" applyAlignment="1" applyProtection="1"/>
    <xf numFmtId="49" fontId="5" fillId="3" borderId="6" xfId="0" applyNumberFormat="1" applyFont="1" applyFill="1" applyBorder="1" applyAlignment="1" applyProtection="1"/>
    <xf numFmtId="0" fontId="6" fillId="3" borderId="2" xfId="0" applyNumberFormat="1" applyFont="1" applyFill="1" applyBorder="1" applyAlignment="1" applyProtection="1">
      <alignment horizontal="right"/>
    </xf>
    <xf numFmtId="0" fontId="6" fillId="3" borderId="0" xfId="0" applyNumberFormat="1" applyFont="1" applyFill="1" applyBorder="1" applyAlignment="1" applyProtection="1">
      <alignment horizontal="right"/>
    </xf>
    <xf numFmtId="0" fontId="6" fillId="3" borderId="3" xfId="0" applyNumberFormat="1" applyFont="1" applyFill="1" applyBorder="1" applyAlignment="1" applyProtection="1">
      <alignment horizontal="right"/>
    </xf>
    <xf numFmtId="0" fontId="7" fillId="4" borderId="7" xfId="0" applyNumberFormat="1" applyFont="1" applyFill="1" applyBorder="1" applyAlignment="1" applyProtection="1">
      <alignment horizontal="center"/>
      <protection locked="0"/>
    </xf>
    <xf numFmtId="49" fontId="2" fillId="4" borderId="8" xfId="0" applyNumberFormat="1" applyFont="1" applyFill="1" applyBorder="1" applyAlignment="1" applyProtection="1">
      <protection locked="0"/>
    </xf>
    <xf numFmtId="0" fontId="7" fillId="2" borderId="9" xfId="0" applyNumberFormat="1" applyFont="1" applyFill="1" applyBorder="1" applyAlignment="1" applyProtection="1"/>
    <xf numFmtId="49" fontId="2" fillId="4" borderId="9" xfId="0" applyNumberFormat="1" applyFont="1" applyFill="1" applyBorder="1" applyAlignment="1" applyProtection="1">
      <protection locked="0"/>
    </xf>
    <xf numFmtId="49" fontId="2" fillId="4" borderId="0" xfId="0" applyNumberFormat="1" applyFont="1" applyFill="1" applyBorder="1" applyAlignment="1" applyProtection="1">
      <protection locked="0"/>
    </xf>
    <xf numFmtId="49" fontId="2" fillId="4" borderId="10" xfId="0" applyNumberFormat="1" applyFont="1" applyFill="1" applyBorder="1" applyAlignment="1" applyProtection="1">
      <protection locked="0"/>
    </xf>
    <xf numFmtId="0" fontId="5" fillId="3" borderId="2" xfId="0" applyNumberFormat="1" applyFont="1" applyFill="1" applyBorder="1" applyAlignment="1" applyProtection="1">
      <alignment horizontal="left"/>
    </xf>
    <xf numFmtId="0" fontId="5" fillId="3" borderId="4" xfId="0" applyNumberFormat="1" applyFont="1" applyFill="1" applyBorder="1" applyAlignment="1" applyProtection="1">
      <alignment horizontal="left"/>
    </xf>
    <xf numFmtId="0" fontId="6" fillId="3" borderId="6" xfId="0" applyNumberFormat="1" applyFont="1" applyFill="1" applyBorder="1" applyAlignment="1" applyProtection="1">
      <alignment horizontal="left"/>
    </xf>
    <xf numFmtId="0" fontId="6" fillId="3" borderId="3" xfId="0" applyNumberFormat="1" applyFont="1" applyFill="1" applyBorder="1" applyAlignment="1" applyProtection="1">
      <alignment horizontal="left"/>
    </xf>
    <xf numFmtId="0" fontId="6" fillId="3" borderId="11" xfId="0" applyNumberFormat="1" applyFont="1" applyFill="1" applyBorder="1" applyAlignment="1" applyProtection="1">
      <alignment horizontal="left"/>
    </xf>
    <xf numFmtId="0" fontId="2" fillId="3" borderId="12" xfId="0" applyNumberFormat="1" applyFont="1" applyFill="1" applyBorder="1" applyAlignment="1" applyProtection="1">
      <protection locked="0"/>
    </xf>
    <xf numFmtId="0" fontId="2" fillId="3" borderId="13" xfId="0" applyNumberFormat="1" applyFont="1" applyFill="1" applyBorder="1" applyAlignment="1" applyProtection="1">
      <protection locked="0"/>
    </xf>
    <xf numFmtId="0" fontId="8" fillId="3" borderId="14" xfId="0" applyNumberFormat="1" applyFont="1" applyFill="1" applyBorder="1" applyAlignment="1" applyProtection="1">
      <protection locked="0"/>
    </xf>
    <xf numFmtId="0" fontId="10" fillId="5" borderId="0" xfId="0" applyNumberFormat="1" applyFont="1" applyFill="1" applyAlignment="1" applyProtection="1">
      <protection hidden="1"/>
    </xf>
    <xf numFmtId="49" fontId="12" fillId="4" borderId="0" xfId="0" applyNumberFormat="1" applyFont="1" applyFill="1" applyBorder="1" applyAlignment="1" applyProtection="1">
      <protection locked="0"/>
    </xf>
    <xf numFmtId="0" fontId="2" fillId="4" borderId="0" xfId="0" applyNumberFormat="1" applyFont="1" applyFill="1" applyBorder="1" applyAlignment="1" applyProtection="1">
      <protection locked="0"/>
    </xf>
    <xf numFmtId="0" fontId="12" fillId="4" borderId="0" xfId="0" applyNumberFormat="1" applyFont="1" applyFill="1" applyBorder="1" applyAlignment="1" applyProtection="1">
      <protection locked="0"/>
    </xf>
    <xf numFmtId="43" fontId="11" fillId="4" borderId="8" xfId="3" applyFont="1" applyFill="1" applyBorder="1" applyAlignment="1" applyProtection="1">
      <protection locked="0"/>
    </xf>
    <xf numFmtId="43" fontId="2" fillId="4" borderId="8" xfId="3" applyFont="1" applyFill="1" applyBorder="1" applyAlignment="1" applyProtection="1">
      <protection locked="0"/>
    </xf>
    <xf numFmtId="49" fontId="12" fillId="4" borderId="10" xfId="0" applyNumberFormat="1" applyFont="1" applyFill="1" applyBorder="1" applyAlignment="1" applyProtection="1">
      <protection locked="0"/>
    </xf>
    <xf numFmtId="49" fontId="12" fillId="4" borderId="9" xfId="0" applyNumberFormat="1" applyFont="1" applyFill="1" applyBorder="1" applyAlignment="1" applyProtection="1">
      <protection locked="0"/>
    </xf>
    <xf numFmtId="0" fontId="13" fillId="4" borderId="0" xfId="1" applyNumberFormat="1" applyFont="1" applyFill="1" applyBorder="1" applyAlignment="1">
      <alignment horizontal="right" vertical="top"/>
    </xf>
    <xf numFmtId="43" fontId="22" fillId="2" borderId="0" xfId="3" applyFont="1" applyFill="1" applyAlignment="1" applyProtection="1"/>
    <xf numFmtId="43" fontId="12" fillId="4" borderId="8" xfId="3" applyFont="1" applyFill="1" applyBorder="1" applyAlignment="1" applyProtection="1">
      <protection locked="0"/>
    </xf>
    <xf numFmtId="43" fontId="11" fillId="4" borderId="0" xfId="3" applyFont="1" applyFill="1" applyAlignment="1">
      <alignment horizontal="right"/>
    </xf>
    <xf numFmtId="0" fontId="0" fillId="4" borderId="0" xfId="0" applyFill="1" applyBorder="1"/>
    <xf numFmtId="43" fontId="2" fillId="4" borderId="0" xfId="3" applyFont="1" applyFill="1" applyBorder="1" applyAlignment="1" applyProtection="1">
      <protection locked="0"/>
    </xf>
    <xf numFmtId="43" fontId="2" fillId="4" borderId="9" xfId="3" applyFont="1" applyFill="1" applyBorder="1" applyAlignment="1" applyProtection="1">
      <protection locked="0"/>
    </xf>
    <xf numFmtId="43" fontId="12" fillId="4" borderId="9" xfId="3" applyFont="1" applyFill="1" applyBorder="1" applyAlignment="1" applyProtection="1">
      <protection locked="0"/>
    </xf>
    <xf numFmtId="43" fontId="11" fillId="4" borderId="9" xfId="3" applyFont="1" applyFill="1" applyBorder="1" applyAlignment="1" applyProtection="1">
      <protection locked="0"/>
    </xf>
    <xf numFmtId="49" fontId="2" fillId="4" borderId="15" xfId="0" applyNumberFormat="1" applyFont="1" applyFill="1" applyBorder="1" applyAlignment="1" applyProtection="1">
      <protection locked="0"/>
    </xf>
    <xf numFmtId="0" fontId="0" fillId="4" borderId="8" xfId="0" applyFill="1" applyBorder="1" applyAlignment="1">
      <alignment horizontal="left"/>
    </xf>
    <xf numFmtId="164" fontId="1" fillId="4" borderId="8" xfId="3" applyNumberFormat="1" applyFill="1" applyBorder="1" applyAlignment="1">
      <alignment horizontal="right"/>
    </xf>
    <xf numFmtId="0" fontId="2" fillId="2" borderId="8" xfId="0" applyNumberFormat="1" applyFont="1" applyFill="1" applyBorder="1" applyAlignment="1" applyProtection="1"/>
    <xf numFmtId="43" fontId="2" fillId="3" borderId="12" xfId="3" applyFont="1" applyFill="1" applyBorder="1" applyAlignment="1" applyProtection="1">
      <protection locked="0"/>
    </xf>
    <xf numFmtId="166" fontId="2" fillId="10" borderId="16" xfId="0" applyNumberFormat="1" applyFont="1" applyFill="1" applyBorder="1" applyAlignment="1" applyProtection="1"/>
    <xf numFmtId="0" fontId="12" fillId="2" borderId="0" xfId="0" applyNumberFormat="1" applyFont="1" applyFill="1" applyAlignment="1" applyProtection="1"/>
    <xf numFmtId="0" fontId="23" fillId="0" borderId="0" xfId="0" applyFont="1" applyAlignment="1">
      <alignment vertical="center"/>
    </xf>
    <xf numFmtId="0" fontId="20" fillId="0" borderId="0" xfId="0" applyFont="1"/>
    <xf numFmtId="0" fontId="24" fillId="0" borderId="0" xfId="0" applyFont="1" applyAlignment="1">
      <alignment vertical="center"/>
    </xf>
    <xf numFmtId="0" fontId="21" fillId="0" borderId="0" xfId="0" applyFont="1"/>
    <xf numFmtId="0" fontId="25" fillId="0" borderId="0" xfId="0" applyFont="1" applyAlignment="1">
      <alignment vertical="center"/>
    </xf>
    <xf numFmtId="0" fontId="15" fillId="0" borderId="0" xfId="0" applyFont="1" applyAlignment="1">
      <alignment vertical="center"/>
    </xf>
    <xf numFmtId="0" fontId="25" fillId="10" borderId="0" xfId="0" applyFont="1" applyFill="1" applyAlignment="1">
      <alignment vertical="center"/>
    </xf>
    <xf numFmtId="0" fontId="17" fillId="10" borderId="0" xfId="0" applyFont="1" applyFill="1"/>
    <xf numFmtId="0" fontId="17" fillId="0" borderId="0" xfId="0" applyFont="1" applyFill="1"/>
    <xf numFmtId="0" fontId="2" fillId="2" borderId="0" xfId="0" applyNumberFormat="1" applyFont="1" applyFill="1" applyBorder="1" applyAlignment="1" applyProtection="1"/>
    <xf numFmtId="0" fontId="2" fillId="11" borderId="16" xfId="0" applyNumberFormat="1" applyFont="1" applyFill="1" applyBorder="1" applyAlignment="1" applyProtection="1"/>
    <xf numFmtId="0" fontId="19" fillId="0" borderId="0" xfId="4"/>
    <xf numFmtId="0" fontId="17" fillId="0" borderId="0" xfId="2" applyFont="1"/>
    <xf numFmtId="0" fontId="0" fillId="6" borderId="16" xfId="2" applyFont="1" applyFill="1" applyBorder="1"/>
    <xf numFmtId="0" fontId="0" fillId="6" borderId="16" xfId="2" applyFont="1" applyFill="1" applyBorder="1" applyAlignment="1">
      <alignment horizontal="center"/>
    </xf>
    <xf numFmtId="0" fontId="18" fillId="0" borderId="16" xfId="2" applyFont="1" applyBorder="1"/>
    <xf numFmtId="0" fontId="18" fillId="0" borderId="16" xfId="2" applyFont="1" applyBorder="1" applyAlignment="1">
      <alignment horizontal="center"/>
    </xf>
    <xf numFmtId="0" fontId="18" fillId="4" borderId="16" xfId="2" applyFont="1" applyFill="1" applyBorder="1" applyAlignment="1">
      <alignment horizontal="center" vertical="top"/>
    </xf>
    <xf numFmtId="0" fontId="18" fillId="4" borderId="16" xfId="2" applyFont="1" applyFill="1" applyBorder="1" applyAlignment="1">
      <alignment horizontal="left" vertical="top"/>
    </xf>
    <xf numFmtId="0" fontId="0" fillId="0" borderId="16" xfId="2" applyFont="1" applyBorder="1"/>
    <xf numFmtId="0" fontId="18" fillId="12" borderId="16" xfId="2" applyFont="1" applyFill="1" applyBorder="1" applyAlignment="1">
      <alignment horizontal="center"/>
    </xf>
    <xf numFmtId="0" fontId="18" fillId="7" borderId="16" xfId="2" applyFont="1" applyFill="1" applyBorder="1" applyAlignment="1">
      <alignment horizontal="center"/>
    </xf>
    <xf numFmtId="0" fontId="18" fillId="0" borderId="16" xfId="2" quotePrefix="1" applyFont="1" applyBorder="1" applyAlignment="1">
      <alignment horizontal="center"/>
    </xf>
    <xf numFmtId="0" fontId="18" fillId="12" borderId="16" xfId="2" applyFont="1" applyFill="1" applyBorder="1" applyAlignment="1">
      <alignment horizontal="center" vertical="top"/>
    </xf>
    <xf numFmtId="0" fontId="2" fillId="14" borderId="0" xfId="0" applyNumberFormat="1" applyFont="1" applyFill="1" applyAlignment="1" applyProtection="1">
      <alignment textRotation="90"/>
    </xf>
    <xf numFmtId="0" fontId="2" fillId="14" borderId="0" xfId="0" applyNumberFormat="1" applyFont="1" applyFill="1" applyAlignment="1" applyProtection="1"/>
    <xf numFmtId="0" fontId="7" fillId="14" borderId="21" xfId="0" applyNumberFormat="1" applyFont="1" applyFill="1" applyBorder="1" applyAlignment="1" applyProtection="1">
      <alignment horizontal="center"/>
      <protection locked="0"/>
    </xf>
    <xf numFmtId="49" fontId="2" fillId="14" borderId="22" xfId="0" applyNumberFormat="1" applyFont="1" applyFill="1" applyBorder="1" applyAlignment="1" applyProtection="1">
      <protection locked="0"/>
    </xf>
    <xf numFmtId="49" fontId="2" fillId="14" borderId="3" xfId="0" applyNumberFormat="1" applyFont="1" applyFill="1" applyBorder="1" applyAlignment="1" applyProtection="1">
      <protection locked="0"/>
    </xf>
    <xf numFmtId="49" fontId="2" fillId="14" borderId="23" xfId="0" applyNumberFormat="1" applyFont="1" applyFill="1" applyBorder="1" applyAlignment="1" applyProtection="1">
      <protection locked="0"/>
    </xf>
    <xf numFmtId="43" fontId="2" fillId="14" borderId="24" xfId="3" applyFont="1" applyFill="1" applyBorder="1" applyAlignment="1" applyProtection="1">
      <protection locked="0"/>
    </xf>
    <xf numFmtId="49" fontId="2" fillId="14" borderId="24" xfId="0" applyNumberFormat="1" applyFont="1" applyFill="1" applyBorder="1" applyAlignment="1" applyProtection="1">
      <protection locked="0"/>
    </xf>
    <xf numFmtId="0" fontId="7" fillId="14" borderId="22" xfId="0" applyNumberFormat="1" applyFont="1" applyFill="1" applyBorder="1" applyAlignment="1" applyProtection="1"/>
    <xf numFmtId="0" fontId="2" fillId="14" borderId="11" xfId="0" applyNumberFormat="1" applyFont="1" applyFill="1" applyBorder="1" applyAlignment="1" applyProtection="1"/>
    <xf numFmtId="0" fontId="10" fillId="14" borderId="0" xfId="0" applyNumberFormat="1" applyFont="1" applyFill="1" applyAlignment="1" applyProtection="1">
      <protection hidden="1"/>
    </xf>
    <xf numFmtId="49" fontId="4" fillId="4" borderId="2" xfId="0" applyNumberFormat="1" applyFont="1" applyFill="1" applyBorder="1" applyAlignment="1" applyProtection="1">
      <protection locked="0"/>
    </xf>
    <xf numFmtId="49" fontId="2" fillId="8" borderId="17" xfId="0" applyNumberFormat="1" applyFont="1" applyFill="1" applyBorder="1" applyAlignment="1" applyProtection="1">
      <protection locked="0"/>
    </xf>
    <xf numFmtId="49" fontId="4" fillId="4" borderId="0" xfId="0" applyNumberFormat="1" applyFont="1" applyFill="1" applyBorder="1" applyAlignment="1" applyProtection="1">
      <protection locked="0"/>
    </xf>
    <xf numFmtId="49" fontId="2" fillId="8" borderId="1" xfId="0" applyNumberFormat="1" applyFont="1" applyFill="1" applyBorder="1" applyAlignment="1" applyProtection="1">
      <protection locked="0"/>
    </xf>
    <xf numFmtId="14" fontId="4" fillId="4" borderId="0" xfId="0" applyNumberFormat="1" applyFont="1" applyFill="1" applyBorder="1" applyAlignment="1" applyProtection="1">
      <protection locked="0"/>
    </xf>
    <xf numFmtId="0" fontId="2" fillId="8" borderId="1" xfId="0" applyNumberFormat="1" applyFont="1" applyFill="1" applyBorder="1" applyAlignment="1" applyProtection="1">
      <protection locked="0"/>
    </xf>
    <xf numFmtId="49" fontId="4" fillId="4" borderId="3" xfId="0" applyNumberFormat="1" applyFont="1" applyFill="1" applyBorder="1" applyAlignment="1" applyProtection="1">
      <protection locked="0"/>
    </xf>
    <xf numFmtId="0" fontId="2" fillId="8" borderId="11" xfId="0" applyNumberFormat="1" applyFont="1" applyFill="1" applyBorder="1" applyAlignment="1" applyProtection="1">
      <protection locked="0"/>
    </xf>
    <xf numFmtId="49" fontId="23" fillId="10" borderId="18" xfId="0" applyNumberFormat="1" applyFont="1" applyFill="1" applyBorder="1" applyAlignment="1" applyProtection="1">
      <alignment horizontal="center"/>
    </xf>
    <xf numFmtId="49" fontId="23" fillId="10" borderId="19" xfId="0" applyNumberFormat="1" applyFont="1" applyFill="1" applyBorder="1" applyAlignment="1" applyProtection="1">
      <alignment horizontal="center"/>
    </xf>
    <xf numFmtId="0" fontId="6" fillId="3" borderId="3" xfId="0" applyNumberFormat="1" applyFont="1" applyFill="1" applyBorder="1" applyAlignment="1" applyProtection="1">
      <alignment horizontal="left"/>
    </xf>
    <xf numFmtId="0" fontId="5" fillId="3" borderId="2" xfId="0" applyNumberFormat="1" applyFont="1" applyFill="1" applyBorder="1" applyAlignment="1" applyProtection="1">
      <alignment horizontal="center"/>
    </xf>
    <xf numFmtId="0" fontId="0" fillId="0" borderId="17" xfId="0" applyBorder="1" applyAlignment="1">
      <alignment horizontal="center"/>
    </xf>
    <xf numFmtId="49" fontId="8" fillId="13" borderId="0" xfId="0" applyNumberFormat="1" applyFont="1" applyFill="1" applyBorder="1" applyAlignment="1" applyProtection="1">
      <protection locked="0"/>
    </xf>
    <xf numFmtId="49" fontId="2" fillId="13" borderId="1" xfId="0" applyNumberFormat="1" applyFont="1" applyFill="1" applyBorder="1" applyAlignment="1" applyProtection="1">
      <protection locked="0"/>
    </xf>
    <xf numFmtId="49" fontId="4" fillId="13" borderId="0" xfId="0" applyNumberFormat="1" applyFont="1" applyFill="1" applyBorder="1" applyAlignment="1" applyProtection="1">
      <protection locked="0"/>
    </xf>
    <xf numFmtId="0" fontId="0" fillId="3" borderId="16" xfId="2" applyFont="1" applyFill="1" applyBorder="1" applyAlignment="1">
      <alignment horizontal="center"/>
    </xf>
    <xf numFmtId="0" fontId="0" fillId="9" borderId="18" xfId="2" applyFont="1" applyFill="1" applyBorder="1" applyAlignment="1">
      <alignment horizontal="center"/>
    </xf>
    <xf numFmtId="0" fontId="0" fillId="9" borderId="20" xfId="2" applyFont="1" applyFill="1" applyBorder="1" applyAlignment="1">
      <alignment horizontal="center"/>
    </xf>
    <xf numFmtId="0" fontId="0" fillId="9" borderId="19" xfId="2" applyFont="1" applyFill="1" applyBorder="1" applyAlignment="1">
      <alignment horizontal="center"/>
    </xf>
  </cellXfs>
  <cellStyles count="5">
    <cellStyle name="%" xfId="1"/>
    <cellStyle name="% 2" xfId="2"/>
    <cellStyle name="Comma" xfId="3" builtinId="3"/>
    <cellStyle name="Hyperlink" xfId="4" builtinId="8"/>
    <cellStyle name="Normal" xfId="0" builtinId="0"/>
  </cellStyles>
  <dxfs count="2">
    <dxf>
      <fill>
        <patternFill>
          <bgColor rgb="FFFF0000"/>
        </patternFill>
      </fill>
    </dxf>
    <dxf>
      <fill>
        <patternFill>
          <bgColor rgb="FFFF0000"/>
        </patternFill>
      </fill>
    </dxf>
  </dxfs>
  <tableStyles count="0" defaultTableStyle="TableStyleMedium2"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7F7E7"/>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336699"/>
      <rgbColor rgb="00FFFF99"/>
      <rgbColor rgb="0099CCFF"/>
      <rgbColor rgb="00CCCC99"/>
      <rgbColor rgb="00CC99FF"/>
      <rgbColor rgb="00E3E3E3"/>
      <rgbColor rgb="003366FF"/>
      <rgbColor rgb="0033CCCC"/>
      <rgbColor rgb="0099CC00"/>
      <rgbColor rgb="00FFFFCC"/>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139700</xdr:colOff>
          <xdr:row>1</xdr:row>
          <xdr:rowOff>38100</xdr:rowOff>
        </xdr:from>
        <xdr:to>
          <xdr:col>2</xdr:col>
          <xdr:colOff>1079500</xdr:colOff>
          <xdr:row>1</xdr:row>
          <xdr:rowOff>215900</xdr:rowOff>
        </xdr:to>
        <xdr:sp macro="" textlink="">
          <xdr:nvSpPr>
            <xdr:cNvPr id="1025" name="context"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Arial"/>
                  <a:ea typeface="Arial"/>
                  <a:cs typeface="Arial"/>
                </a:rPr>
                <a:t>View context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1079500</xdr:colOff>
          <xdr:row>1</xdr:row>
          <xdr:rowOff>38100</xdr:rowOff>
        </xdr:from>
        <xdr:to>
          <xdr:col>3</xdr:col>
          <xdr:colOff>1231900</xdr:colOff>
          <xdr:row>1</xdr:row>
          <xdr:rowOff>215900</xdr:rowOff>
        </xdr:to>
        <xdr:sp macro="" textlink="">
          <xdr:nvSpPr>
            <xdr:cNvPr id="1026" name="header"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Arial"/>
                  <a:ea typeface="Arial"/>
                  <a:cs typeface="Arial"/>
                </a:rPr>
                <a:t>View header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52</xdr:row>
      <xdr:rowOff>0</xdr:rowOff>
    </xdr:from>
    <xdr:to>
      <xdr:col>10</xdr:col>
      <xdr:colOff>558800</xdr:colOff>
      <xdr:row>79</xdr:row>
      <xdr:rowOff>25400</xdr:rowOff>
    </xdr:to>
    <xdr:pic>
      <xdr:nvPicPr>
        <xdr:cNvPr id="6155"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6866" t="18140" r="16928" b="23322"/>
        <a:stretch>
          <a:fillRect/>
        </a:stretch>
      </xdr:blipFill>
      <xdr:spPr bwMode="auto">
        <a:xfrm>
          <a:off x="190500" y="8001000"/>
          <a:ext cx="7099300" cy="414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57</xdr:row>
      <xdr:rowOff>124460</xdr:rowOff>
    </xdr:from>
    <xdr:to>
      <xdr:col>3</xdr:col>
      <xdr:colOff>231169</xdr:colOff>
      <xdr:row>60</xdr:row>
      <xdr:rowOff>86360</xdr:rowOff>
    </xdr:to>
    <xdr:sp macro="" textlink="">
      <xdr:nvSpPr>
        <xdr:cNvPr id="3" name="Notched Right Arrow 2"/>
        <xdr:cNvSpPr/>
      </xdr:nvSpPr>
      <xdr:spPr>
        <a:xfrm>
          <a:off x="0" y="9738360"/>
          <a:ext cx="2034540" cy="46482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Please</a:t>
          </a:r>
          <a:r>
            <a:rPr lang="en-GB" sz="1100" baseline="0"/>
            <a:t> tick this box</a:t>
          </a: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hyperlink" Target="http://phoenix.ps.gov.uk:8000/OA_HTML/OA.jsp?OAFunc=OAHOMEPAGE&amp;akRegionApplicationId=0&amp;navRespId=60517&amp;navRespAppId=20048&amp;navSecGrpId=0&amp;transactionid=2129895893&amp;oapc=2&amp;oas=7d3aa9QQEa7j9WinMpBTJg.." TargetMode="External"/><Relationship Id="rId2" Type="http://schemas.openxmlformats.org/officeDocument/2006/relationships/hyperlink" Target="http://phoenix.ps.gov.uk:8000/OA_HTML/OA.jsp?OAFunc=OAHOMEPAGE&amp;akRegionApplicationId=0&amp;navRespId=60517&amp;navRespAppId=20048&amp;navSecGrpId=0&amp;transactionid=2129895893&amp;oapc=2&amp;oas=7d3aa9QQEa7j9WinMpBTJg.." TargetMode="External"/><Relationship Id="rId3"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2"/>
  <sheetViews>
    <sheetView workbookViewId="0"/>
  </sheetViews>
  <sheetFormatPr baseColWidth="10" defaultColWidth="8.83203125" defaultRowHeight="12" x14ac:dyDescent="0"/>
  <sheetData>
    <row r="1" spans="1:1">
      <c r="A1" t="s">
        <v>0</v>
      </c>
    </row>
    <row r="2" spans="1:1">
      <c r="A2" t="s">
        <v>1</v>
      </c>
    </row>
  </sheetData>
  <phoneticPr fontId="9" type="noConversion"/>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2" x14ac:dyDescent="0"/>
  <sheetData/>
  <phoneticPr fontId="9" type="noConversion"/>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outlinePr summaryBelow="0"/>
  </sheetPr>
  <dimension ref="A1:M210"/>
  <sheetViews>
    <sheetView tabSelected="1" showOutlineSymbols="0" topLeftCell="A2" workbookViewId="0">
      <pane ySplit="18" topLeftCell="A161" activePane="bottomLeft" state="frozen"/>
      <selection activeCell="A2" sqref="A2"/>
      <selection pane="bottomLeft" activeCell="C186" sqref="C186"/>
    </sheetView>
  </sheetViews>
  <sheetFormatPr baseColWidth="10" defaultColWidth="9.1640625" defaultRowHeight="12" outlineLevelRow="1" x14ac:dyDescent="0"/>
  <cols>
    <col min="1" max="1" width="2.6640625" style="1" customWidth="1"/>
    <col min="2" max="2" width="3.6640625" style="1" customWidth="1"/>
    <col min="3" max="3" width="16.5" style="1" customWidth="1"/>
    <col min="4" max="4" width="17.5" style="1" customWidth="1"/>
    <col min="5" max="5" width="19.1640625" style="1" customWidth="1"/>
    <col min="6" max="6" width="14.5" style="1" customWidth="1"/>
    <col min="7" max="7" width="9.5" style="1" customWidth="1"/>
    <col min="8" max="9" width="15.6640625" style="1" customWidth="1"/>
    <col min="10" max="10" width="19.5" style="1" bestFit="1" customWidth="1"/>
    <col min="11" max="11" width="3.5" style="1" customWidth="1"/>
    <col min="12" max="12" width="30.6640625" style="1" customWidth="1"/>
    <col min="13" max="13" width="0" style="1" hidden="1" customWidth="1"/>
    <col min="14" max="16384" width="9.1640625" style="1"/>
  </cols>
  <sheetData>
    <row r="1" spans="2:10" hidden="1"/>
    <row r="2" spans="2:10" ht="18" customHeight="1">
      <c r="H2" s="51">
        <f>H209</f>
        <v>0</v>
      </c>
      <c r="I2" s="51">
        <f>I209</f>
        <v>0</v>
      </c>
      <c r="J2" s="63" t="str">
        <f>IF(H2-I2=0,"Journal Balances","Imbalance")</f>
        <v>Journal Balances</v>
      </c>
    </row>
    <row r="3" spans="2:10" ht="14.25" customHeight="1">
      <c r="H3" s="96" t="str">
        <f>IF((H2+I2)&lt;&gt;ROUND((H2+I2),2),"greater than 2 decimal places","OK")</f>
        <v>OK</v>
      </c>
      <c r="I3" s="97" t="str">
        <f>IF(G3&lt;&gt;ROUND(G3,2),"greater than 2 decimal places"," ")</f>
        <v xml:space="preserve"> </v>
      </c>
      <c r="J3" s="62"/>
    </row>
    <row r="4" spans="2:10" outlineLevel="1">
      <c r="B4" s="2" t="s">
        <v>2</v>
      </c>
      <c r="E4" s="52"/>
      <c r="G4" s="4" t="s">
        <v>5</v>
      </c>
      <c r="H4" s="4"/>
      <c r="I4" s="4"/>
    </row>
    <row r="5" spans="2:10" outlineLevel="1">
      <c r="B5" s="2" t="s">
        <v>3</v>
      </c>
      <c r="G5" s="3" t="s">
        <v>6</v>
      </c>
      <c r="H5" s="3"/>
      <c r="I5" s="3"/>
    </row>
    <row r="6" spans="2:10" outlineLevel="1">
      <c r="B6" s="2" t="s">
        <v>4</v>
      </c>
      <c r="G6" s="3" t="s">
        <v>7</v>
      </c>
      <c r="H6" s="3"/>
      <c r="I6" s="3"/>
    </row>
    <row r="7" spans="2:10" ht="13" thickBot="1"/>
    <row r="8" spans="2:10" outlineLevel="1">
      <c r="B8" s="9" t="s">
        <v>8</v>
      </c>
      <c r="C8" s="6"/>
      <c r="D8" s="6"/>
      <c r="E8" s="6"/>
      <c r="F8" s="6"/>
      <c r="G8" s="12"/>
      <c r="H8" s="12" t="s">
        <v>17</v>
      </c>
      <c r="I8" s="88" t="s">
        <v>70</v>
      </c>
      <c r="J8" s="89"/>
    </row>
    <row r="9" spans="2:10" outlineLevel="1">
      <c r="B9" s="10" t="s">
        <v>9</v>
      </c>
      <c r="C9" s="7"/>
      <c r="D9" s="7"/>
      <c r="E9" s="7"/>
      <c r="F9" s="7"/>
      <c r="G9" s="13"/>
      <c r="H9" s="13" t="s">
        <v>17</v>
      </c>
      <c r="I9" s="90" t="s">
        <v>34</v>
      </c>
      <c r="J9" s="91"/>
    </row>
    <row r="10" spans="2:10" outlineLevel="1">
      <c r="B10" s="10" t="s">
        <v>10</v>
      </c>
      <c r="C10" s="7"/>
      <c r="D10" s="7"/>
      <c r="E10" s="7"/>
      <c r="F10" s="7"/>
      <c r="G10" s="13"/>
      <c r="H10" s="13" t="s">
        <v>17</v>
      </c>
      <c r="I10" s="90" t="s">
        <v>35</v>
      </c>
      <c r="J10" s="91"/>
    </row>
    <row r="11" spans="2:10" outlineLevel="1">
      <c r="B11" s="10" t="s">
        <v>11</v>
      </c>
      <c r="C11" s="7"/>
      <c r="D11" s="7"/>
      <c r="E11" s="7"/>
      <c r="F11" s="7"/>
      <c r="G11" s="13"/>
      <c r="H11" s="13" t="s">
        <v>18</v>
      </c>
      <c r="I11" s="92">
        <v>42490</v>
      </c>
      <c r="J11" s="93"/>
    </row>
    <row r="12" spans="2:10" outlineLevel="1">
      <c r="B12" s="10" t="s">
        <v>12</v>
      </c>
      <c r="C12" s="7"/>
      <c r="D12" s="7"/>
      <c r="E12" s="7"/>
      <c r="F12" s="7"/>
      <c r="G12" s="13"/>
      <c r="H12" s="13" t="s">
        <v>19</v>
      </c>
      <c r="I12" s="90" t="s">
        <v>151</v>
      </c>
      <c r="J12" s="91"/>
    </row>
    <row r="13" spans="2:10" outlineLevel="1">
      <c r="B13" s="10" t="s">
        <v>13</v>
      </c>
      <c r="C13" s="7"/>
      <c r="D13" s="7"/>
      <c r="E13" s="7"/>
      <c r="F13" s="7"/>
      <c r="G13" s="13"/>
      <c r="H13" s="13" t="s">
        <v>20</v>
      </c>
      <c r="I13" s="101"/>
      <c r="J13" s="102"/>
    </row>
    <row r="14" spans="2:10" outlineLevel="1">
      <c r="B14" s="10" t="s">
        <v>14</v>
      </c>
      <c r="C14" s="7"/>
      <c r="D14" s="7"/>
      <c r="E14" s="7"/>
      <c r="F14" s="7"/>
      <c r="G14" s="13"/>
      <c r="H14" s="13" t="s">
        <v>20</v>
      </c>
      <c r="I14" s="103"/>
      <c r="J14" s="102"/>
    </row>
    <row r="15" spans="2:10" outlineLevel="1">
      <c r="B15" s="10" t="s">
        <v>15</v>
      </c>
      <c r="C15" s="7"/>
      <c r="D15" s="7"/>
      <c r="E15" s="7"/>
      <c r="F15" s="7"/>
      <c r="G15" s="13"/>
      <c r="H15" s="13" t="s">
        <v>19</v>
      </c>
      <c r="I15" s="90" t="s">
        <v>0</v>
      </c>
      <c r="J15" s="91"/>
    </row>
    <row r="16" spans="2:10" ht="13" outlineLevel="1" thickBot="1">
      <c r="B16" s="11" t="s">
        <v>16</v>
      </c>
      <c r="C16" s="8"/>
      <c r="D16" s="8"/>
      <c r="E16" s="8"/>
      <c r="F16" s="8"/>
      <c r="G16" s="14"/>
      <c r="H16" s="14" t="s">
        <v>19</v>
      </c>
      <c r="I16" s="94"/>
      <c r="J16" s="95"/>
    </row>
    <row r="17" spans="2:13" ht="13" thickBot="1"/>
    <row r="18" spans="2:13">
      <c r="B18" s="22" t="s">
        <v>21</v>
      </c>
      <c r="C18" s="21" t="s">
        <v>22</v>
      </c>
      <c r="D18" s="21" t="s">
        <v>23</v>
      </c>
      <c r="E18" s="21" t="s">
        <v>24</v>
      </c>
      <c r="F18" s="21" t="s">
        <v>25</v>
      </c>
      <c r="G18" s="21" t="s">
        <v>26</v>
      </c>
      <c r="H18" s="21" t="s">
        <v>27</v>
      </c>
      <c r="I18" s="21" t="s">
        <v>28</v>
      </c>
      <c r="J18" s="21" t="s">
        <v>29</v>
      </c>
      <c r="K18" s="99" t="s">
        <v>30</v>
      </c>
      <c r="L18" s="100"/>
    </row>
    <row r="19" spans="2:13" ht="13" thickBot="1">
      <c r="B19" s="23"/>
      <c r="C19" s="98" t="s">
        <v>17</v>
      </c>
      <c r="D19" s="98"/>
      <c r="E19" s="98"/>
      <c r="F19" s="98"/>
      <c r="G19" s="98"/>
      <c r="H19" s="24" t="s">
        <v>31</v>
      </c>
      <c r="I19" s="24" t="s">
        <v>31</v>
      </c>
      <c r="J19" s="24" t="s">
        <v>20</v>
      </c>
      <c r="K19" s="24"/>
      <c r="L19" s="25"/>
    </row>
    <row r="20" spans="2:13">
      <c r="B20" s="15"/>
      <c r="C20" s="36"/>
      <c r="D20" s="30"/>
      <c r="E20" s="31"/>
      <c r="F20" s="30"/>
      <c r="G20" s="35"/>
      <c r="H20" s="33"/>
      <c r="I20" s="43"/>
      <c r="J20" s="46"/>
      <c r="K20" s="17"/>
      <c r="L20" s="5"/>
      <c r="M20" s="29"/>
    </row>
    <row r="21" spans="2:13">
      <c r="B21" s="15"/>
      <c r="C21" s="36"/>
      <c r="D21" s="19"/>
      <c r="E21" s="31"/>
      <c r="F21" s="30"/>
      <c r="G21" s="35"/>
      <c r="H21" s="33"/>
      <c r="I21" s="42"/>
      <c r="J21" s="16"/>
      <c r="K21" s="17"/>
      <c r="L21" s="5"/>
      <c r="M21" s="29"/>
    </row>
    <row r="22" spans="2:13">
      <c r="B22" s="15"/>
      <c r="C22" s="36"/>
      <c r="D22" s="19"/>
      <c r="E22" s="31"/>
      <c r="F22" s="30"/>
      <c r="G22" s="35"/>
      <c r="H22" s="33"/>
      <c r="I22" s="42"/>
      <c r="J22" s="16"/>
      <c r="K22" s="17"/>
      <c r="L22" s="5"/>
      <c r="M22" s="29"/>
    </row>
    <row r="23" spans="2:13">
      <c r="B23" s="15"/>
      <c r="C23" s="36"/>
      <c r="D23" s="19"/>
      <c r="E23" s="31"/>
      <c r="F23" s="30"/>
      <c r="G23" s="35"/>
      <c r="H23" s="33"/>
      <c r="I23" s="42"/>
      <c r="J23" s="16"/>
      <c r="K23" s="17"/>
      <c r="L23" s="5"/>
      <c r="M23" s="29"/>
    </row>
    <row r="24" spans="2:13">
      <c r="B24" s="15"/>
      <c r="C24" s="36"/>
      <c r="D24" s="19"/>
      <c r="E24" s="31"/>
      <c r="F24" s="30"/>
      <c r="G24" s="35"/>
      <c r="H24" s="33"/>
      <c r="I24" s="42"/>
      <c r="J24" s="16"/>
      <c r="K24" s="17"/>
      <c r="L24" s="5"/>
      <c r="M24" s="29"/>
    </row>
    <row r="25" spans="2:13">
      <c r="B25" s="15"/>
      <c r="C25" s="36"/>
      <c r="D25" s="19"/>
      <c r="E25" s="31"/>
      <c r="F25" s="30"/>
      <c r="G25" s="35"/>
      <c r="H25" s="33"/>
      <c r="I25" s="42"/>
      <c r="J25" s="16"/>
      <c r="K25" s="17"/>
      <c r="L25" s="5"/>
      <c r="M25" s="29"/>
    </row>
    <row r="26" spans="2:13">
      <c r="B26" s="15"/>
      <c r="C26" s="36"/>
      <c r="D26" s="19"/>
      <c r="E26" s="31"/>
      <c r="F26" s="30"/>
      <c r="G26" s="35"/>
      <c r="H26" s="33"/>
      <c r="I26" s="42"/>
      <c r="J26" s="16"/>
      <c r="K26" s="17"/>
      <c r="L26" s="5"/>
      <c r="M26" s="29"/>
    </row>
    <row r="27" spans="2:13">
      <c r="B27" s="15"/>
      <c r="C27" s="36"/>
      <c r="D27" s="19"/>
      <c r="E27" s="31"/>
      <c r="F27" s="30"/>
      <c r="G27" s="35"/>
      <c r="H27" s="33"/>
      <c r="I27" s="42"/>
      <c r="J27" s="16"/>
      <c r="K27" s="17"/>
      <c r="L27" s="5"/>
      <c r="M27" s="29"/>
    </row>
    <row r="28" spans="2:13">
      <c r="B28" s="15"/>
      <c r="C28" s="36"/>
      <c r="D28" s="19"/>
      <c r="E28" s="31"/>
      <c r="F28" s="30"/>
      <c r="G28" s="35"/>
      <c r="H28" s="33"/>
      <c r="I28" s="42"/>
      <c r="J28" s="16"/>
      <c r="K28" s="17"/>
      <c r="L28" s="5"/>
      <c r="M28" s="29"/>
    </row>
    <row r="29" spans="2:13">
      <c r="B29" s="15"/>
      <c r="C29" s="36"/>
      <c r="D29" s="19"/>
      <c r="E29" s="31"/>
      <c r="F29" s="30"/>
      <c r="G29" s="35"/>
      <c r="H29" s="33"/>
      <c r="I29" s="42"/>
      <c r="J29" s="16"/>
      <c r="K29" s="17"/>
      <c r="L29" s="5"/>
      <c r="M29" s="29"/>
    </row>
    <row r="30" spans="2:13">
      <c r="B30" s="15"/>
      <c r="C30" s="36"/>
      <c r="D30" s="19"/>
      <c r="E30" s="31"/>
      <c r="F30" s="30"/>
      <c r="G30" s="35"/>
      <c r="H30" s="33"/>
      <c r="I30" s="42"/>
      <c r="J30" s="16"/>
      <c r="K30" s="17"/>
      <c r="L30" s="5"/>
      <c r="M30" s="29"/>
    </row>
    <row r="31" spans="2:13">
      <c r="B31" s="15"/>
      <c r="C31" s="36"/>
      <c r="D31" s="19"/>
      <c r="E31" s="31"/>
      <c r="F31" s="30"/>
      <c r="G31" s="35"/>
      <c r="H31" s="33"/>
      <c r="I31" s="42"/>
      <c r="J31" s="16"/>
      <c r="K31" s="17"/>
      <c r="L31" s="5"/>
      <c r="M31" s="29"/>
    </row>
    <row r="32" spans="2:13">
      <c r="B32" s="15"/>
      <c r="C32" s="36"/>
      <c r="D32" s="19"/>
      <c r="E32" s="31"/>
      <c r="F32" s="30"/>
      <c r="G32" s="35"/>
      <c r="H32" s="33"/>
      <c r="I32" s="42"/>
      <c r="J32" s="16"/>
      <c r="K32" s="17"/>
      <c r="L32" s="5"/>
      <c r="M32" s="29"/>
    </row>
    <row r="33" spans="2:13">
      <c r="B33" s="15"/>
      <c r="C33" s="36"/>
      <c r="D33" s="19"/>
      <c r="E33" s="31"/>
      <c r="F33" s="30"/>
      <c r="G33" s="35"/>
      <c r="H33" s="33"/>
      <c r="I33" s="42"/>
      <c r="J33" s="16"/>
      <c r="K33" s="17"/>
      <c r="L33" s="5"/>
      <c r="M33" s="29"/>
    </row>
    <row r="34" spans="2:13">
      <c r="B34" s="15"/>
      <c r="C34" s="36"/>
      <c r="D34" s="19"/>
      <c r="E34" s="31"/>
      <c r="F34" s="30"/>
      <c r="G34" s="35"/>
      <c r="H34" s="33"/>
      <c r="I34" s="42"/>
      <c r="J34" s="16"/>
      <c r="K34" s="17"/>
      <c r="L34" s="5"/>
      <c r="M34" s="29"/>
    </row>
    <row r="35" spans="2:13">
      <c r="B35" s="15"/>
      <c r="C35" s="36"/>
      <c r="D35" s="19"/>
      <c r="E35" s="31"/>
      <c r="F35" s="30"/>
      <c r="G35" s="35"/>
      <c r="H35" s="33"/>
      <c r="I35" s="42"/>
      <c r="J35" s="16"/>
      <c r="K35" s="17"/>
      <c r="L35" s="5"/>
      <c r="M35" s="29"/>
    </row>
    <row r="36" spans="2:13">
      <c r="B36" s="15"/>
      <c r="C36" s="36"/>
      <c r="D36" s="19"/>
      <c r="E36" s="31"/>
      <c r="F36" s="30"/>
      <c r="G36" s="35"/>
      <c r="H36" s="33"/>
      <c r="I36" s="42"/>
      <c r="J36" s="16"/>
      <c r="K36" s="17"/>
      <c r="L36" s="5"/>
      <c r="M36" s="29"/>
    </row>
    <row r="37" spans="2:13">
      <c r="B37" s="15"/>
      <c r="C37" s="36"/>
      <c r="D37" s="19"/>
      <c r="E37" s="31"/>
      <c r="F37" s="30"/>
      <c r="G37" s="35"/>
      <c r="H37" s="33"/>
      <c r="I37" s="42"/>
      <c r="J37" s="16"/>
      <c r="K37" s="17"/>
      <c r="L37" s="5"/>
      <c r="M37" s="29"/>
    </row>
    <row r="38" spans="2:13">
      <c r="B38" s="15"/>
      <c r="C38" s="36"/>
      <c r="D38" s="19"/>
      <c r="E38" s="31"/>
      <c r="F38" s="30"/>
      <c r="G38" s="35"/>
      <c r="H38" s="33"/>
      <c r="I38" s="42"/>
      <c r="J38" s="16"/>
      <c r="K38" s="17"/>
      <c r="L38" s="5"/>
      <c r="M38" s="29"/>
    </row>
    <row r="39" spans="2:13">
      <c r="B39" s="15"/>
      <c r="C39" s="36"/>
      <c r="D39" s="19"/>
      <c r="E39" s="31"/>
      <c r="F39" s="30"/>
      <c r="G39" s="35"/>
      <c r="H39" s="33"/>
      <c r="I39" s="42"/>
      <c r="J39" s="16"/>
      <c r="K39" s="17"/>
      <c r="L39" s="5"/>
      <c r="M39" s="29"/>
    </row>
    <row r="40" spans="2:13">
      <c r="B40" s="15"/>
      <c r="C40" s="36"/>
      <c r="D40" s="19"/>
      <c r="E40" s="31"/>
      <c r="F40" s="30"/>
      <c r="G40" s="35"/>
      <c r="H40" s="33"/>
      <c r="I40" s="42"/>
      <c r="J40" s="16"/>
      <c r="K40" s="17"/>
      <c r="L40" s="5"/>
      <c r="M40" s="29"/>
    </row>
    <row r="41" spans="2:13">
      <c r="B41" s="15"/>
      <c r="C41" s="36"/>
      <c r="D41" s="19"/>
      <c r="E41" s="31"/>
      <c r="F41" s="30"/>
      <c r="G41" s="35"/>
      <c r="H41" s="33"/>
      <c r="I41" s="42"/>
      <c r="J41" s="16"/>
      <c r="K41" s="17"/>
      <c r="L41" s="5"/>
      <c r="M41" s="29"/>
    </row>
    <row r="42" spans="2:13">
      <c r="B42" s="15"/>
      <c r="C42" s="36"/>
      <c r="D42" s="19"/>
      <c r="E42" s="31"/>
      <c r="F42" s="30"/>
      <c r="G42" s="35"/>
      <c r="H42" s="33"/>
      <c r="I42" s="42"/>
      <c r="J42" s="16"/>
      <c r="K42" s="17"/>
      <c r="L42" s="5"/>
      <c r="M42" s="29"/>
    </row>
    <row r="43" spans="2:13">
      <c r="B43" s="15"/>
      <c r="C43" s="36"/>
      <c r="D43" s="19"/>
      <c r="E43" s="31"/>
      <c r="F43" s="30"/>
      <c r="G43" s="35"/>
      <c r="H43" s="33"/>
      <c r="I43" s="42"/>
      <c r="J43" s="16"/>
      <c r="K43" s="17"/>
      <c r="L43" s="5"/>
      <c r="M43" s="29"/>
    </row>
    <row r="44" spans="2:13">
      <c r="B44" s="15"/>
      <c r="C44" s="36"/>
      <c r="D44" s="19"/>
      <c r="E44" s="31"/>
      <c r="F44" s="30"/>
      <c r="G44" s="35"/>
      <c r="H44" s="33"/>
      <c r="I44" s="42"/>
      <c r="J44" s="16"/>
      <c r="K44" s="17"/>
      <c r="L44" s="5"/>
      <c r="M44" s="29"/>
    </row>
    <row r="45" spans="2:13">
      <c r="B45" s="15"/>
      <c r="C45" s="36"/>
      <c r="D45" s="19"/>
      <c r="E45" s="31"/>
      <c r="F45" s="30"/>
      <c r="G45" s="35"/>
      <c r="H45" s="33"/>
      <c r="I45" s="42"/>
      <c r="J45" s="16"/>
      <c r="K45" s="17"/>
      <c r="L45" s="5"/>
      <c r="M45" s="29"/>
    </row>
    <row r="46" spans="2:13">
      <c r="B46" s="15"/>
      <c r="C46" s="36"/>
      <c r="D46" s="19"/>
      <c r="E46" s="31"/>
      <c r="F46" s="30"/>
      <c r="G46" s="35"/>
      <c r="H46" s="33"/>
      <c r="I46" s="42"/>
      <c r="J46" s="16"/>
      <c r="K46" s="17"/>
      <c r="L46" s="5"/>
      <c r="M46" s="29"/>
    </row>
    <row r="47" spans="2:13">
      <c r="B47" s="15"/>
      <c r="C47" s="36"/>
      <c r="D47" s="19"/>
      <c r="E47" s="31"/>
      <c r="F47" s="30"/>
      <c r="G47" s="35"/>
      <c r="H47" s="33"/>
      <c r="I47" s="42"/>
      <c r="J47" s="16"/>
      <c r="K47" s="17"/>
      <c r="L47" s="5"/>
      <c r="M47" s="29"/>
    </row>
    <row r="48" spans="2:13">
      <c r="B48" s="15"/>
      <c r="C48" s="36"/>
      <c r="D48" s="19"/>
      <c r="E48" s="31"/>
      <c r="F48" s="30"/>
      <c r="G48" s="35"/>
      <c r="H48" s="33"/>
      <c r="I48" s="42"/>
      <c r="J48" s="16"/>
      <c r="K48" s="17"/>
      <c r="L48" s="5"/>
      <c r="M48" s="29"/>
    </row>
    <row r="49" spans="2:13">
      <c r="B49" s="15"/>
      <c r="C49" s="36"/>
      <c r="D49" s="19"/>
      <c r="E49" s="31"/>
      <c r="F49" s="30"/>
      <c r="G49" s="35"/>
      <c r="H49" s="33"/>
      <c r="I49" s="42"/>
      <c r="J49" s="16"/>
      <c r="K49" s="17"/>
      <c r="L49" s="5"/>
      <c r="M49" s="29"/>
    </row>
    <row r="50" spans="2:13">
      <c r="B50" s="15"/>
      <c r="C50" s="36"/>
      <c r="D50" s="19"/>
      <c r="E50" s="31"/>
      <c r="F50" s="30"/>
      <c r="G50" s="35"/>
      <c r="H50" s="33"/>
      <c r="I50" s="42"/>
      <c r="J50" s="16"/>
      <c r="K50" s="17"/>
      <c r="L50" s="5"/>
      <c r="M50" s="29"/>
    </row>
    <row r="51" spans="2:13">
      <c r="B51" s="15"/>
      <c r="C51" s="36"/>
      <c r="D51" s="19"/>
      <c r="E51" s="31"/>
      <c r="F51" s="30"/>
      <c r="G51" s="35"/>
      <c r="H51" s="33"/>
      <c r="I51" s="42"/>
      <c r="J51" s="16"/>
      <c r="K51" s="17"/>
      <c r="L51" s="5"/>
      <c r="M51" s="29"/>
    </row>
    <row r="52" spans="2:13">
      <c r="B52" s="15"/>
      <c r="C52" s="36"/>
      <c r="D52" s="19"/>
      <c r="E52" s="31"/>
      <c r="F52" s="30"/>
      <c r="G52" s="35"/>
      <c r="H52" s="33"/>
      <c r="I52" s="42"/>
      <c r="J52" s="16"/>
      <c r="K52" s="17"/>
      <c r="L52" s="5"/>
      <c r="M52" s="29"/>
    </row>
    <row r="53" spans="2:13">
      <c r="B53" s="15"/>
      <c r="C53" s="36"/>
      <c r="D53" s="19"/>
      <c r="E53" s="31"/>
      <c r="F53" s="30"/>
      <c r="G53" s="35"/>
      <c r="H53" s="33"/>
      <c r="I53" s="42"/>
      <c r="J53" s="16"/>
      <c r="K53" s="17"/>
      <c r="L53" s="5"/>
      <c r="M53" s="29"/>
    </row>
    <row r="54" spans="2:13">
      <c r="B54" s="15"/>
      <c r="C54" s="36"/>
      <c r="D54" s="19"/>
      <c r="E54" s="31"/>
      <c r="F54" s="30"/>
      <c r="G54" s="35"/>
      <c r="H54" s="33"/>
      <c r="I54" s="42"/>
      <c r="J54" s="16"/>
      <c r="K54" s="17"/>
      <c r="L54" s="5"/>
      <c r="M54" s="29"/>
    </row>
    <row r="55" spans="2:13">
      <c r="B55" s="15"/>
      <c r="C55" s="36"/>
      <c r="D55" s="19"/>
      <c r="E55" s="31"/>
      <c r="F55" s="30"/>
      <c r="G55" s="35"/>
      <c r="H55" s="33"/>
      <c r="I55" s="42"/>
      <c r="J55" s="16"/>
      <c r="K55" s="17"/>
      <c r="L55" s="5"/>
      <c r="M55" s="29"/>
    </row>
    <row r="56" spans="2:13">
      <c r="B56" s="15"/>
      <c r="C56" s="36"/>
      <c r="D56" s="19"/>
      <c r="E56" s="31"/>
      <c r="F56" s="30"/>
      <c r="G56" s="35"/>
      <c r="H56" s="33"/>
      <c r="I56" s="42"/>
      <c r="J56" s="16"/>
      <c r="K56" s="17"/>
      <c r="L56" s="5"/>
      <c r="M56" s="29"/>
    </row>
    <row r="57" spans="2:13">
      <c r="B57" s="15"/>
      <c r="C57" s="36"/>
      <c r="D57" s="19"/>
      <c r="E57" s="31"/>
      <c r="F57" s="30"/>
      <c r="G57" s="35"/>
      <c r="H57" s="33"/>
      <c r="I57" s="42"/>
      <c r="J57" s="16"/>
      <c r="K57" s="17"/>
      <c r="L57" s="5"/>
      <c r="M57" s="29"/>
    </row>
    <row r="58" spans="2:13">
      <c r="B58" s="15"/>
      <c r="C58" s="36"/>
      <c r="D58" s="19"/>
      <c r="E58" s="31"/>
      <c r="F58" s="30"/>
      <c r="G58" s="35"/>
      <c r="H58" s="33"/>
      <c r="I58" s="42"/>
      <c r="J58" s="16"/>
      <c r="K58" s="17"/>
      <c r="L58" s="5"/>
      <c r="M58" s="29"/>
    </row>
    <row r="59" spans="2:13">
      <c r="B59" s="15"/>
      <c r="C59" s="36"/>
      <c r="D59" s="19"/>
      <c r="E59" s="31"/>
      <c r="F59" s="30"/>
      <c r="G59" s="35"/>
      <c r="H59" s="33"/>
      <c r="I59" s="42"/>
      <c r="J59" s="16"/>
      <c r="K59" s="17"/>
      <c r="L59" s="5"/>
      <c r="M59" s="29"/>
    </row>
    <row r="60" spans="2:13">
      <c r="B60" s="15"/>
      <c r="C60" s="36"/>
      <c r="D60" s="19"/>
      <c r="E60" s="31"/>
      <c r="F60" s="30"/>
      <c r="G60" s="35"/>
      <c r="H60" s="33"/>
      <c r="I60" s="42"/>
      <c r="J60" s="16"/>
      <c r="K60" s="17"/>
      <c r="L60" s="5"/>
      <c r="M60" s="29"/>
    </row>
    <row r="61" spans="2:13">
      <c r="B61" s="15"/>
      <c r="C61" s="36"/>
      <c r="D61" s="19"/>
      <c r="E61" s="31"/>
      <c r="F61" s="30"/>
      <c r="G61" s="35"/>
      <c r="H61" s="33"/>
      <c r="I61" s="42"/>
      <c r="J61" s="16"/>
      <c r="K61" s="17"/>
      <c r="L61" s="5"/>
      <c r="M61" s="29"/>
    </row>
    <row r="62" spans="2:13">
      <c r="B62" s="15"/>
      <c r="C62" s="36"/>
      <c r="D62" s="19"/>
      <c r="E62" s="31"/>
      <c r="F62" s="30"/>
      <c r="G62" s="35"/>
      <c r="H62" s="33"/>
      <c r="I62" s="42"/>
      <c r="J62" s="16"/>
      <c r="K62" s="17"/>
      <c r="L62" s="5"/>
      <c r="M62" s="29"/>
    </row>
    <row r="63" spans="2:13">
      <c r="B63" s="15"/>
      <c r="C63" s="36"/>
      <c r="D63" s="19"/>
      <c r="E63" s="31"/>
      <c r="F63" s="30"/>
      <c r="G63" s="35"/>
      <c r="H63" s="33"/>
      <c r="I63" s="42"/>
      <c r="J63" s="16"/>
      <c r="K63" s="17"/>
      <c r="L63" s="5"/>
      <c r="M63" s="29"/>
    </row>
    <row r="64" spans="2:13">
      <c r="B64" s="15"/>
      <c r="C64" s="36"/>
      <c r="D64" s="19"/>
      <c r="E64" s="31"/>
      <c r="F64" s="30"/>
      <c r="G64" s="35"/>
      <c r="H64" s="33"/>
      <c r="I64" s="42"/>
      <c r="J64" s="16"/>
      <c r="K64" s="17"/>
      <c r="L64" s="5"/>
      <c r="M64" s="29"/>
    </row>
    <row r="65" spans="2:13">
      <c r="B65" s="15"/>
      <c r="C65" s="36"/>
      <c r="D65" s="19"/>
      <c r="E65" s="31"/>
      <c r="F65" s="30"/>
      <c r="G65" s="35"/>
      <c r="H65" s="33"/>
      <c r="I65" s="42"/>
      <c r="J65" s="16"/>
      <c r="K65" s="17"/>
      <c r="L65" s="5"/>
      <c r="M65" s="29"/>
    </row>
    <row r="66" spans="2:13">
      <c r="B66" s="15"/>
      <c r="C66" s="36"/>
      <c r="D66" s="19"/>
      <c r="E66" s="31"/>
      <c r="F66" s="30"/>
      <c r="G66" s="35"/>
      <c r="H66" s="33"/>
      <c r="I66" s="42"/>
      <c r="J66" s="16"/>
      <c r="K66" s="17"/>
      <c r="L66" s="5"/>
      <c r="M66" s="29"/>
    </row>
    <row r="67" spans="2:13">
      <c r="B67" s="15"/>
      <c r="C67" s="36"/>
      <c r="D67" s="19"/>
      <c r="E67" s="31"/>
      <c r="F67" s="30"/>
      <c r="G67" s="35"/>
      <c r="H67" s="33"/>
      <c r="I67" s="42"/>
      <c r="J67" s="16"/>
      <c r="K67" s="17"/>
      <c r="L67" s="5"/>
      <c r="M67" s="29"/>
    </row>
    <row r="68" spans="2:13">
      <c r="B68" s="15"/>
      <c r="C68" s="36"/>
      <c r="D68" s="19"/>
      <c r="E68" s="31"/>
      <c r="F68" s="30"/>
      <c r="G68" s="35"/>
      <c r="H68" s="33"/>
      <c r="I68" s="42"/>
      <c r="J68" s="16"/>
      <c r="K68" s="17"/>
      <c r="L68" s="5"/>
      <c r="M68" s="29"/>
    </row>
    <row r="69" spans="2:13">
      <c r="B69" s="15"/>
      <c r="C69" s="36"/>
      <c r="D69" s="19"/>
      <c r="E69" s="31"/>
      <c r="F69" s="30"/>
      <c r="G69" s="35"/>
      <c r="H69" s="33"/>
      <c r="I69" s="42"/>
      <c r="J69" s="16"/>
      <c r="K69" s="17"/>
      <c r="L69" s="5"/>
      <c r="M69" s="29"/>
    </row>
    <row r="70" spans="2:13">
      <c r="B70" s="15"/>
      <c r="C70" s="36"/>
      <c r="D70" s="19"/>
      <c r="E70" s="31"/>
      <c r="F70" s="30"/>
      <c r="G70" s="35"/>
      <c r="H70" s="33"/>
      <c r="I70" s="42"/>
      <c r="J70" s="16"/>
      <c r="K70" s="17"/>
      <c r="L70" s="5"/>
      <c r="M70" s="29"/>
    </row>
    <row r="71" spans="2:13">
      <c r="B71" s="15"/>
      <c r="C71" s="36"/>
      <c r="D71" s="19"/>
      <c r="E71" s="31"/>
      <c r="F71" s="30"/>
      <c r="G71" s="35"/>
      <c r="H71" s="33"/>
      <c r="I71" s="42"/>
      <c r="J71" s="16"/>
      <c r="K71" s="17"/>
      <c r="L71" s="5"/>
      <c r="M71" s="29"/>
    </row>
    <row r="72" spans="2:13">
      <c r="B72" s="15"/>
      <c r="C72" s="36"/>
      <c r="D72" s="19"/>
      <c r="E72" s="31"/>
      <c r="F72" s="30"/>
      <c r="G72" s="35"/>
      <c r="H72" s="33"/>
      <c r="I72" s="42"/>
      <c r="J72" s="16"/>
      <c r="K72" s="17"/>
      <c r="L72" s="5"/>
      <c r="M72" s="29"/>
    </row>
    <row r="73" spans="2:13">
      <c r="B73" s="15"/>
      <c r="C73" s="36"/>
      <c r="D73" s="19"/>
      <c r="E73" s="31"/>
      <c r="F73" s="30"/>
      <c r="G73" s="35"/>
      <c r="H73" s="33"/>
      <c r="I73" s="42"/>
      <c r="J73" s="16"/>
      <c r="K73" s="17"/>
      <c r="L73" s="5"/>
      <c r="M73" s="29"/>
    </row>
    <row r="74" spans="2:13">
      <c r="B74" s="15"/>
      <c r="C74" s="36"/>
      <c r="D74" s="19"/>
      <c r="E74" s="31"/>
      <c r="F74" s="30"/>
      <c r="G74" s="35"/>
      <c r="H74" s="33"/>
      <c r="I74" s="42"/>
      <c r="J74" s="16"/>
      <c r="K74" s="17"/>
      <c r="L74" s="5"/>
      <c r="M74" s="29"/>
    </row>
    <row r="75" spans="2:13">
      <c r="B75" s="15"/>
      <c r="C75" s="36"/>
      <c r="D75" s="19"/>
      <c r="E75" s="31"/>
      <c r="F75" s="30"/>
      <c r="G75" s="35"/>
      <c r="H75" s="33"/>
      <c r="I75" s="42"/>
      <c r="J75" s="16"/>
      <c r="K75" s="17"/>
      <c r="L75" s="5"/>
      <c r="M75" s="29"/>
    </row>
    <row r="76" spans="2:13">
      <c r="B76" s="15"/>
      <c r="C76" s="36"/>
      <c r="D76" s="19"/>
      <c r="E76" s="31"/>
      <c r="F76" s="30"/>
      <c r="G76" s="35"/>
      <c r="H76" s="33"/>
      <c r="I76" s="42"/>
      <c r="J76" s="16"/>
      <c r="K76" s="17"/>
      <c r="L76" s="5"/>
      <c r="M76" s="29"/>
    </row>
    <row r="77" spans="2:13">
      <c r="B77" s="15"/>
      <c r="C77" s="36"/>
      <c r="D77" s="19"/>
      <c r="E77" s="31"/>
      <c r="F77" s="30"/>
      <c r="G77" s="35"/>
      <c r="H77" s="33"/>
      <c r="I77" s="42"/>
      <c r="J77" s="16"/>
      <c r="K77" s="17"/>
      <c r="L77" s="5"/>
      <c r="M77" s="29"/>
    </row>
    <row r="78" spans="2:13">
      <c r="B78" s="15"/>
      <c r="C78" s="36"/>
      <c r="D78" s="19"/>
      <c r="E78" s="31"/>
      <c r="F78" s="30"/>
      <c r="G78" s="35"/>
      <c r="H78" s="33"/>
      <c r="I78" s="42"/>
      <c r="J78" s="16"/>
      <c r="K78" s="17"/>
      <c r="L78" s="5"/>
      <c r="M78" s="29"/>
    </row>
    <row r="79" spans="2:13">
      <c r="B79" s="15"/>
      <c r="C79" s="36"/>
      <c r="D79" s="19"/>
      <c r="E79" s="31"/>
      <c r="F79" s="30"/>
      <c r="G79" s="35"/>
      <c r="H79" s="33"/>
      <c r="I79" s="42"/>
      <c r="J79" s="16"/>
      <c r="K79" s="17"/>
      <c r="L79" s="5"/>
      <c r="M79" s="29"/>
    </row>
    <row r="80" spans="2:13">
      <c r="B80" s="15"/>
      <c r="C80" s="36"/>
      <c r="D80" s="19"/>
      <c r="E80" s="31"/>
      <c r="F80" s="30"/>
      <c r="G80" s="35"/>
      <c r="H80" s="33"/>
      <c r="I80" s="42"/>
      <c r="J80" s="16"/>
      <c r="K80" s="17"/>
      <c r="L80" s="5"/>
      <c r="M80" s="29"/>
    </row>
    <row r="81" spans="2:13">
      <c r="B81" s="15"/>
      <c r="C81" s="36"/>
      <c r="D81" s="19"/>
      <c r="E81" s="31"/>
      <c r="F81" s="30"/>
      <c r="G81" s="35"/>
      <c r="H81" s="33"/>
      <c r="I81" s="42"/>
      <c r="J81" s="16"/>
      <c r="K81" s="17"/>
      <c r="L81" s="5"/>
      <c r="M81" s="29"/>
    </row>
    <row r="82" spans="2:13">
      <c r="B82" s="15"/>
      <c r="C82" s="36"/>
      <c r="D82" s="19"/>
      <c r="E82" s="31"/>
      <c r="F82" s="30"/>
      <c r="G82" s="35"/>
      <c r="H82" s="33"/>
      <c r="I82" s="42"/>
      <c r="J82" s="16"/>
      <c r="K82" s="17"/>
      <c r="L82" s="5"/>
      <c r="M82" s="29"/>
    </row>
    <row r="83" spans="2:13">
      <c r="B83" s="15"/>
      <c r="C83" s="36"/>
      <c r="D83" s="19"/>
      <c r="E83" s="31"/>
      <c r="F83" s="30"/>
      <c r="G83" s="35"/>
      <c r="H83" s="33"/>
      <c r="I83" s="42"/>
      <c r="J83" s="16"/>
      <c r="K83" s="17"/>
      <c r="L83" s="5"/>
      <c r="M83" s="29"/>
    </row>
    <row r="84" spans="2:13">
      <c r="B84" s="15"/>
      <c r="C84" s="36"/>
      <c r="D84" s="19"/>
      <c r="E84" s="31"/>
      <c r="F84" s="30"/>
      <c r="G84" s="35"/>
      <c r="H84" s="33"/>
      <c r="I84" s="42"/>
      <c r="J84" s="16"/>
      <c r="K84" s="17"/>
      <c r="L84" s="5"/>
      <c r="M84" s="29"/>
    </row>
    <row r="85" spans="2:13">
      <c r="B85" s="15"/>
      <c r="C85" s="36"/>
      <c r="D85" s="19"/>
      <c r="E85" s="31"/>
      <c r="F85" s="30"/>
      <c r="G85" s="35"/>
      <c r="H85" s="33"/>
      <c r="I85" s="42"/>
      <c r="J85" s="16"/>
      <c r="K85" s="17"/>
      <c r="L85" s="5"/>
      <c r="M85" s="29"/>
    </row>
    <row r="86" spans="2:13">
      <c r="B86" s="15"/>
      <c r="C86" s="36"/>
      <c r="D86" s="19"/>
      <c r="E86" s="31"/>
      <c r="F86" s="30"/>
      <c r="G86" s="35"/>
      <c r="H86" s="33"/>
      <c r="I86" s="42"/>
      <c r="J86" s="16"/>
      <c r="K86" s="17"/>
      <c r="L86" s="5"/>
      <c r="M86" s="29"/>
    </row>
    <row r="87" spans="2:13">
      <c r="B87" s="15"/>
      <c r="C87" s="36"/>
      <c r="D87" s="19"/>
      <c r="E87" s="31"/>
      <c r="F87" s="30"/>
      <c r="G87" s="35"/>
      <c r="H87" s="33"/>
      <c r="I87" s="42"/>
      <c r="J87" s="16"/>
      <c r="K87" s="17"/>
      <c r="L87" s="5"/>
      <c r="M87" s="29"/>
    </row>
    <row r="88" spans="2:13">
      <c r="B88" s="15"/>
      <c r="C88" s="36"/>
      <c r="D88" s="19"/>
      <c r="E88" s="31"/>
      <c r="F88" s="30"/>
      <c r="G88" s="35"/>
      <c r="H88" s="33"/>
      <c r="I88" s="42"/>
      <c r="J88" s="16"/>
      <c r="K88" s="17"/>
      <c r="L88" s="5"/>
      <c r="M88" s="29"/>
    </row>
    <row r="89" spans="2:13">
      <c r="B89" s="15"/>
      <c r="C89" s="36"/>
      <c r="D89" s="19"/>
      <c r="E89" s="31"/>
      <c r="F89" s="30"/>
      <c r="G89" s="35"/>
      <c r="H89" s="33"/>
      <c r="I89" s="42"/>
      <c r="J89" s="16"/>
      <c r="K89" s="17"/>
      <c r="L89" s="5"/>
      <c r="M89" s="29"/>
    </row>
    <row r="90" spans="2:13">
      <c r="B90" s="15"/>
      <c r="C90" s="36"/>
      <c r="D90" s="19"/>
      <c r="E90" s="31"/>
      <c r="F90" s="30"/>
      <c r="G90" s="35"/>
      <c r="H90" s="33"/>
      <c r="I90" s="42"/>
      <c r="J90" s="16"/>
      <c r="K90" s="17"/>
      <c r="L90" s="5"/>
      <c r="M90" s="29"/>
    </row>
    <row r="91" spans="2:13">
      <c r="B91" s="15"/>
      <c r="C91" s="36"/>
      <c r="D91" s="19"/>
      <c r="E91" s="31"/>
      <c r="F91" s="30"/>
      <c r="G91" s="35"/>
      <c r="H91" s="33"/>
      <c r="I91" s="42"/>
      <c r="J91" s="16"/>
      <c r="K91" s="17"/>
      <c r="L91" s="5"/>
      <c r="M91" s="29"/>
    </row>
    <row r="92" spans="2:13">
      <c r="B92" s="15"/>
      <c r="C92" s="36"/>
      <c r="D92" s="19"/>
      <c r="E92" s="31"/>
      <c r="F92" s="30"/>
      <c r="G92" s="35"/>
      <c r="H92" s="33"/>
      <c r="I92" s="42"/>
      <c r="J92" s="16"/>
      <c r="K92" s="17"/>
      <c r="L92" s="5"/>
      <c r="M92" s="29"/>
    </row>
    <row r="93" spans="2:13">
      <c r="B93" s="15"/>
      <c r="C93" s="36"/>
      <c r="D93" s="19"/>
      <c r="E93" s="31"/>
      <c r="F93" s="30"/>
      <c r="G93" s="35"/>
      <c r="H93" s="33"/>
      <c r="I93" s="42"/>
      <c r="J93" s="16"/>
      <c r="K93" s="17"/>
      <c r="L93" s="5"/>
      <c r="M93" s="29"/>
    </row>
    <row r="94" spans="2:13">
      <c r="B94" s="15"/>
      <c r="C94" s="36"/>
      <c r="D94" s="19"/>
      <c r="E94" s="31"/>
      <c r="F94" s="30"/>
      <c r="G94" s="35"/>
      <c r="H94" s="33"/>
      <c r="I94" s="42"/>
      <c r="J94" s="16"/>
      <c r="K94" s="17"/>
      <c r="L94" s="5"/>
      <c r="M94" s="29"/>
    </row>
    <row r="95" spans="2:13">
      <c r="B95" s="15"/>
      <c r="C95" s="36"/>
      <c r="D95" s="19"/>
      <c r="E95" s="31"/>
      <c r="F95" s="30"/>
      <c r="G95" s="35"/>
      <c r="H95" s="33"/>
      <c r="I95" s="42"/>
      <c r="J95" s="16"/>
      <c r="K95" s="17"/>
      <c r="L95" s="5"/>
      <c r="M95" s="29"/>
    </row>
    <row r="96" spans="2:13">
      <c r="B96" s="15"/>
      <c r="C96" s="36"/>
      <c r="D96" s="19"/>
      <c r="E96" s="31"/>
      <c r="F96" s="30"/>
      <c r="G96" s="35"/>
      <c r="H96" s="33"/>
      <c r="I96" s="42"/>
      <c r="J96" s="16"/>
      <c r="K96" s="17"/>
      <c r="L96" s="5"/>
      <c r="M96" s="29"/>
    </row>
    <row r="97" spans="2:13">
      <c r="B97" s="15"/>
      <c r="C97" s="36"/>
      <c r="D97" s="19"/>
      <c r="E97" s="31"/>
      <c r="F97" s="30"/>
      <c r="G97" s="35"/>
      <c r="H97" s="33"/>
      <c r="I97" s="42"/>
      <c r="J97" s="16"/>
      <c r="K97" s="17"/>
      <c r="L97" s="5"/>
      <c r="M97" s="29"/>
    </row>
    <row r="98" spans="2:13">
      <c r="B98" s="15"/>
      <c r="C98" s="36"/>
      <c r="D98" s="19"/>
      <c r="E98" s="31"/>
      <c r="F98" s="30"/>
      <c r="G98" s="35"/>
      <c r="H98" s="33"/>
      <c r="I98" s="42"/>
      <c r="J98" s="16"/>
      <c r="K98" s="17"/>
      <c r="L98" s="5"/>
      <c r="M98" s="29"/>
    </row>
    <row r="99" spans="2:13">
      <c r="B99" s="15"/>
      <c r="C99" s="36"/>
      <c r="D99" s="19"/>
      <c r="E99" s="31"/>
      <c r="F99" s="30"/>
      <c r="G99" s="35"/>
      <c r="H99" s="33"/>
      <c r="I99" s="42"/>
      <c r="J99" s="16"/>
      <c r="K99" s="17"/>
      <c r="L99" s="5"/>
      <c r="M99" s="29"/>
    </row>
    <row r="100" spans="2:13">
      <c r="B100" s="15"/>
      <c r="C100" s="36"/>
      <c r="D100" s="19"/>
      <c r="E100" s="31"/>
      <c r="F100" s="30"/>
      <c r="G100" s="35"/>
      <c r="H100" s="33"/>
      <c r="I100" s="42"/>
      <c r="J100" s="16"/>
      <c r="K100" s="17"/>
      <c r="L100" s="5"/>
      <c r="M100" s="29"/>
    </row>
    <row r="101" spans="2:13">
      <c r="B101" s="15"/>
      <c r="C101" s="36"/>
      <c r="D101" s="19"/>
      <c r="E101" s="31"/>
      <c r="F101" s="30"/>
      <c r="G101" s="35"/>
      <c r="H101" s="33"/>
      <c r="I101" s="42"/>
      <c r="J101" s="16"/>
      <c r="K101" s="17"/>
      <c r="L101" s="5"/>
      <c r="M101" s="29"/>
    </row>
    <row r="102" spans="2:13">
      <c r="B102" s="15"/>
      <c r="C102" s="36"/>
      <c r="D102" s="19"/>
      <c r="E102" s="31"/>
      <c r="F102" s="30"/>
      <c r="G102" s="35"/>
      <c r="H102" s="33"/>
      <c r="I102" s="42"/>
      <c r="J102" s="16"/>
      <c r="K102" s="17"/>
      <c r="L102" s="5"/>
      <c r="M102" s="29"/>
    </row>
    <row r="103" spans="2:13">
      <c r="B103" s="15"/>
      <c r="C103" s="36"/>
      <c r="D103" s="19"/>
      <c r="E103" s="31"/>
      <c r="F103" s="30"/>
      <c r="G103" s="35"/>
      <c r="H103" s="33"/>
      <c r="I103" s="42"/>
      <c r="J103" s="16"/>
      <c r="K103" s="17"/>
      <c r="L103" s="5"/>
      <c r="M103" s="29"/>
    </row>
    <row r="104" spans="2:13">
      <c r="B104" s="15"/>
      <c r="C104" s="36"/>
      <c r="D104" s="19"/>
      <c r="E104" s="31"/>
      <c r="F104" s="30"/>
      <c r="G104" s="35"/>
      <c r="H104" s="33"/>
      <c r="I104" s="42"/>
      <c r="J104" s="16"/>
      <c r="K104" s="17"/>
      <c r="L104" s="5"/>
      <c r="M104" s="29"/>
    </row>
    <row r="105" spans="2:13">
      <c r="B105" s="15"/>
      <c r="C105" s="36"/>
      <c r="D105" s="19"/>
      <c r="E105" s="31"/>
      <c r="F105" s="30"/>
      <c r="G105" s="35"/>
      <c r="H105" s="33"/>
      <c r="I105" s="42"/>
      <c r="J105" s="16"/>
      <c r="K105" s="17"/>
      <c r="L105" s="5"/>
      <c r="M105" s="29"/>
    </row>
    <row r="106" spans="2:13">
      <c r="B106" s="15"/>
      <c r="C106" s="36"/>
      <c r="D106" s="19"/>
      <c r="E106" s="31"/>
      <c r="F106" s="30"/>
      <c r="G106" s="35"/>
      <c r="H106" s="33"/>
      <c r="I106" s="42"/>
      <c r="J106" s="16"/>
      <c r="K106" s="17"/>
      <c r="L106" s="5"/>
      <c r="M106" s="29"/>
    </row>
    <row r="107" spans="2:13">
      <c r="B107" s="15"/>
      <c r="C107" s="36"/>
      <c r="D107" s="19"/>
      <c r="E107" s="31"/>
      <c r="F107" s="30"/>
      <c r="G107" s="35"/>
      <c r="H107" s="33"/>
      <c r="I107" s="42"/>
      <c r="J107" s="16"/>
      <c r="K107" s="17"/>
      <c r="L107" s="5"/>
      <c r="M107" s="29"/>
    </row>
    <row r="108" spans="2:13">
      <c r="B108" s="15"/>
      <c r="C108" s="36"/>
      <c r="D108" s="19"/>
      <c r="E108" s="31"/>
      <c r="F108" s="30"/>
      <c r="G108" s="35"/>
      <c r="H108" s="33"/>
      <c r="I108" s="42"/>
      <c r="J108" s="16"/>
      <c r="K108" s="17"/>
      <c r="L108" s="5"/>
      <c r="M108" s="29"/>
    </row>
    <row r="109" spans="2:13">
      <c r="B109" s="15"/>
      <c r="C109" s="36"/>
      <c r="D109" s="19"/>
      <c r="E109" s="31"/>
      <c r="F109" s="30"/>
      <c r="G109" s="35"/>
      <c r="H109" s="33"/>
      <c r="I109" s="42"/>
      <c r="J109" s="16"/>
      <c r="K109" s="17"/>
      <c r="L109" s="5"/>
      <c r="M109" s="29"/>
    </row>
    <row r="110" spans="2:13">
      <c r="B110" s="15"/>
      <c r="C110" s="36"/>
      <c r="D110" s="19"/>
      <c r="E110" s="31"/>
      <c r="F110" s="30"/>
      <c r="G110" s="35"/>
      <c r="H110" s="33"/>
      <c r="I110" s="42"/>
      <c r="J110" s="16"/>
      <c r="K110" s="17"/>
      <c r="L110" s="5"/>
      <c r="M110" s="29"/>
    </row>
    <row r="111" spans="2:13">
      <c r="B111" s="15"/>
      <c r="C111" s="36"/>
      <c r="D111" s="19"/>
      <c r="E111" s="31"/>
      <c r="F111" s="30"/>
      <c r="G111" s="35"/>
      <c r="H111" s="33"/>
      <c r="I111" s="42"/>
      <c r="J111" s="16"/>
      <c r="K111" s="17"/>
      <c r="L111" s="5"/>
      <c r="M111" s="29"/>
    </row>
    <row r="112" spans="2:13">
      <c r="B112" s="15"/>
      <c r="C112" s="36"/>
      <c r="D112" s="19"/>
      <c r="E112" s="31"/>
      <c r="F112" s="30"/>
      <c r="G112" s="35"/>
      <c r="H112" s="33"/>
      <c r="I112" s="42"/>
      <c r="J112" s="16"/>
      <c r="K112" s="17"/>
      <c r="L112" s="5"/>
      <c r="M112" s="29"/>
    </row>
    <row r="113" spans="2:13">
      <c r="B113" s="15"/>
      <c r="C113" s="36"/>
      <c r="D113" s="19"/>
      <c r="E113" s="31"/>
      <c r="F113" s="30"/>
      <c r="G113" s="35"/>
      <c r="H113" s="33"/>
      <c r="I113" s="42"/>
      <c r="J113" s="16"/>
      <c r="K113" s="17"/>
      <c r="L113" s="5"/>
      <c r="M113" s="29"/>
    </row>
    <row r="114" spans="2:13">
      <c r="B114" s="15"/>
      <c r="C114" s="36"/>
      <c r="D114" s="19"/>
      <c r="E114" s="31"/>
      <c r="F114" s="30"/>
      <c r="G114" s="35"/>
      <c r="H114" s="33"/>
      <c r="I114" s="42"/>
      <c r="J114" s="16"/>
      <c r="K114" s="17"/>
      <c r="L114" s="5"/>
      <c r="M114" s="29"/>
    </row>
    <row r="115" spans="2:13">
      <c r="B115" s="15"/>
      <c r="C115" s="36"/>
      <c r="D115" s="19"/>
      <c r="E115" s="31"/>
      <c r="F115" s="30"/>
      <c r="G115" s="35"/>
      <c r="H115" s="33"/>
      <c r="I115" s="42"/>
      <c r="J115" s="16"/>
      <c r="K115" s="17"/>
      <c r="L115" s="5"/>
      <c r="M115" s="29"/>
    </row>
    <row r="116" spans="2:13">
      <c r="B116" s="15"/>
      <c r="C116" s="36"/>
      <c r="D116" s="19"/>
      <c r="E116" s="31"/>
      <c r="F116" s="30"/>
      <c r="G116" s="35"/>
      <c r="H116" s="33"/>
      <c r="I116" s="42"/>
      <c r="J116" s="16"/>
      <c r="K116" s="17"/>
      <c r="L116" s="5"/>
      <c r="M116" s="29"/>
    </row>
    <row r="117" spans="2:13">
      <c r="B117" s="15"/>
      <c r="C117" s="36"/>
      <c r="D117" s="19"/>
      <c r="E117" s="31"/>
      <c r="F117" s="30"/>
      <c r="G117" s="35"/>
      <c r="H117" s="33"/>
      <c r="I117" s="42"/>
      <c r="J117" s="16"/>
      <c r="K117" s="17"/>
      <c r="L117" s="5"/>
      <c r="M117" s="29"/>
    </row>
    <row r="118" spans="2:13">
      <c r="B118" s="15"/>
      <c r="C118" s="36"/>
      <c r="D118" s="19"/>
      <c r="E118" s="31"/>
      <c r="F118" s="30"/>
      <c r="G118" s="35"/>
      <c r="H118" s="33"/>
      <c r="I118" s="42"/>
      <c r="J118" s="16"/>
      <c r="K118" s="17"/>
      <c r="L118" s="5"/>
      <c r="M118" s="29"/>
    </row>
    <row r="119" spans="2:13">
      <c r="B119" s="15"/>
      <c r="C119" s="36"/>
      <c r="D119" s="19"/>
      <c r="E119" s="31"/>
      <c r="F119" s="30"/>
      <c r="G119" s="35"/>
      <c r="H119" s="33"/>
      <c r="I119" s="42"/>
      <c r="J119" s="16"/>
      <c r="K119" s="17"/>
      <c r="L119" s="5"/>
      <c r="M119" s="29"/>
    </row>
    <row r="120" spans="2:13">
      <c r="B120" s="15"/>
      <c r="C120" s="36"/>
      <c r="D120" s="19"/>
      <c r="E120" s="31"/>
      <c r="F120" s="30"/>
      <c r="G120" s="35"/>
      <c r="H120" s="33"/>
      <c r="I120" s="42"/>
      <c r="J120" s="16"/>
      <c r="K120" s="17"/>
      <c r="L120" s="5"/>
      <c r="M120" s="29"/>
    </row>
    <row r="121" spans="2:13">
      <c r="B121" s="15"/>
      <c r="C121" s="36"/>
      <c r="D121" s="19"/>
      <c r="E121" s="31"/>
      <c r="F121" s="30"/>
      <c r="G121" s="35"/>
      <c r="H121" s="33"/>
      <c r="I121" s="42"/>
      <c r="J121" s="16"/>
      <c r="K121" s="17"/>
      <c r="L121" s="5"/>
      <c r="M121" s="29"/>
    </row>
    <row r="122" spans="2:13">
      <c r="B122" s="15"/>
      <c r="C122" s="36"/>
      <c r="D122" s="19"/>
      <c r="E122" s="31"/>
      <c r="F122" s="30"/>
      <c r="G122" s="35"/>
      <c r="H122" s="33"/>
      <c r="I122" s="42"/>
      <c r="J122" s="16"/>
      <c r="K122" s="17"/>
      <c r="L122" s="5"/>
      <c r="M122" s="29"/>
    </row>
    <row r="123" spans="2:13">
      <c r="B123" s="15"/>
      <c r="C123" s="36"/>
      <c r="D123" s="19"/>
      <c r="E123" s="31"/>
      <c r="F123" s="30"/>
      <c r="G123" s="35"/>
      <c r="H123" s="33"/>
      <c r="I123" s="42"/>
      <c r="J123" s="16"/>
      <c r="K123" s="17"/>
      <c r="L123" s="5"/>
      <c r="M123" s="29"/>
    </row>
    <row r="124" spans="2:13">
      <c r="B124" s="15"/>
      <c r="C124" s="36"/>
      <c r="D124" s="19"/>
      <c r="E124" s="31"/>
      <c r="F124" s="30"/>
      <c r="G124" s="35"/>
      <c r="H124" s="33"/>
      <c r="I124" s="42"/>
      <c r="J124" s="16"/>
      <c r="K124" s="17"/>
      <c r="L124" s="5"/>
      <c r="M124" s="29"/>
    </row>
    <row r="125" spans="2:13">
      <c r="B125" s="15"/>
      <c r="C125" s="36"/>
      <c r="D125" s="19"/>
      <c r="E125" s="31"/>
      <c r="F125" s="30"/>
      <c r="G125" s="35"/>
      <c r="H125" s="33"/>
      <c r="I125" s="42"/>
      <c r="J125" s="16"/>
      <c r="K125" s="17"/>
      <c r="L125" s="5"/>
      <c r="M125" s="29"/>
    </row>
    <row r="126" spans="2:13">
      <c r="B126" s="15"/>
      <c r="C126" s="36"/>
      <c r="D126" s="19"/>
      <c r="E126" s="31"/>
      <c r="F126" s="30"/>
      <c r="G126" s="35"/>
      <c r="H126" s="33"/>
      <c r="I126" s="42"/>
      <c r="J126" s="16"/>
      <c r="K126" s="17"/>
      <c r="L126" s="5"/>
      <c r="M126" s="29"/>
    </row>
    <row r="127" spans="2:13">
      <c r="B127" s="15"/>
      <c r="C127" s="36"/>
      <c r="D127" s="19"/>
      <c r="E127" s="31"/>
      <c r="F127" s="30"/>
      <c r="G127" s="35"/>
      <c r="H127" s="33"/>
      <c r="I127" s="42"/>
      <c r="J127" s="16"/>
      <c r="K127" s="17"/>
      <c r="L127" s="5"/>
      <c r="M127" s="29"/>
    </row>
    <row r="128" spans="2:13">
      <c r="B128" s="15"/>
      <c r="C128" s="36"/>
      <c r="D128" s="19"/>
      <c r="E128" s="31"/>
      <c r="F128" s="30"/>
      <c r="G128" s="35"/>
      <c r="H128" s="33"/>
      <c r="I128" s="42"/>
      <c r="J128" s="16"/>
      <c r="K128" s="17"/>
      <c r="L128" s="5"/>
      <c r="M128" s="29"/>
    </row>
    <row r="129" spans="2:13">
      <c r="B129" s="15"/>
      <c r="C129" s="36"/>
      <c r="D129" s="19"/>
      <c r="E129" s="31"/>
      <c r="F129" s="30"/>
      <c r="G129" s="35"/>
      <c r="H129" s="33"/>
      <c r="I129" s="42"/>
      <c r="J129" s="16"/>
      <c r="K129" s="17"/>
      <c r="L129" s="5"/>
      <c r="M129" s="29"/>
    </row>
    <row r="130" spans="2:13">
      <c r="B130" s="15"/>
      <c r="C130" s="36"/>
      <c r="D130" s="19"/>
      <c r="E130" s="31"/>
      <c r="F130" s="30"/>
      <c r="G130" s="35"/>
      <c r="H130" s="33"/>
      <c r="I130" s="42"/>
      <c r="J130" s="16"/>
      <c r="K130" s="17"/>
      <c r="L130" s="5"/>
      <c r="M130" s="29"/>
    </row>
    <row r="131" spans="2:13">
      <c r="B131" s="15"/>
      <c r="C131" s="36"/>
      <c r="D131" s="19"/>
      <c r="E131" s="31"/>
      <c r="F131" s="30"/>
      <c r="G131" s="35"/>
      <c r="H131" s="33"/>
      <c r="I131" s="42"/>
      <c r="J131" s="16"/>
      <c r="K131" s="17"/>
      <c r="L131" s="5"/>
      <c r="M131" s="29"/>
    </row>
    <row r="132" spans="2:13">
      <c r="B132" s="15"/>
      <c r="C132" s="36"/>
      <c r="D132" s="19"/>
      <c r="E132" s="31"/>
      <c r="F132" s="30"/>
      <c r="G132" s="35"/>
      <c r="H132" s="33"/>
      <c r="I132" s="42"/>
      <c r="J132" s="16"/>
      <c r="K132" s="17"/>
      <c r="L132" s="5"/>
      <c r="M132" s="29"/>
    </row>
    <row r="133" spans="2:13">
      <c r="B133" s="15"/>
      <c r="C133" s="36"/>
      <c r="D133" s="19"/>
      <c r="E133" s="31"/>
      <c r="F133" s="30"/>
      <c r="G133" s="35"/>
      <c r="H133" s="33"/>
      <c r="I133" s="42"/>
      <c r="J133" s="16"/>
      <c r="K133" s="17"/>
      <c r="L133" s="5"/>
      <c r="M133" s="29"/>
    </row>
    <row r="134" spans="2:13">
      <c r="B134" s="15"/>
      <c r="C134" s="36"/>
      <c r="D134" s="19"/>
      <c r="E134" s="31"/>
      <c r="F134" s="30"/>
      <c r="G134" s="35"/>
      <c r="H134" s="33"/>
      <c r="I134" s="42"/>
      <c r="J134" s="16"/>
      <c r="K134" s="17"/>
      <c r="L134" s="5"/>
      <c r="M134" s="29"/>
    </row>
    <row r="135" spans="2:13">
      <c r="B135" s="15"/>
      <c r="C135" s="36"/>
      <c r="D135" s="19"/>
      <c r="E135" s="31"/>
      <c r="F135" s="30"/>
      <c r="G135" s="35"/>
      <c r="H135" s="33"/>
      <c r="I135" s="42"/>
      <c r="J135" s="16"/>
      <c r="K135" s="17"/>
      <c r="L135" s="5"/>
      <c r="M135" s="29"/>
    </row>
    <row r="136" spans="2:13">
      <c r="B136" s="15"/>
      <c r="C136" s="36"/>
      <c r="D136" s="19"/>
      <c r="E136" s="31"/>
      <c r="F136" s="30"/>
      <c r="G136" s="35"/>
      <c r="H136" s="33"/>
      <c r="I136" s="42"/>
      <c r="J136" s="16"/>
      <c r="K136" s="17"/>
      <c r="L136" s="5"/>
      <c r="M136" s="29"/>
    </row>
    <row r="137" spans="2:13">
      <c r="B137" s="15"/>
      <c r="C137" s="36"/>
      <c r="D137" s="19"/>
      <c r="E137" s="31"/>
      <c r="F137" s="30"/>
      <c r="G137" s="35"/>
      <c r="H137" s="33"/>
      <c r="I137" s="42"/>
      <c r="J137" s="16"/>
      <c r="K137" s="17"/>
      <c r="L137" s="5"/>
      <c r="M137" s="29"/>
    </row>
    <row r="138" spans="2:13">
      <c r="B138" s="15"/>
      <c r="C138" s="36"/>
      <c r="D138" s="19"/>
      <c r="E138" s="31"/>
      <c r="F138" s="30"/>
      <c r="G138" s="35"/>
      <c r="H138" s="33"/>
      <c r="I138" s="42"/>
      <c r="J138" s="16"/>
      <c r="K138" s="17"/>
      <c r="L138" s="5"/>
      <c r="M138" s="29"/>
    </row>
    <row r="139" spans="2:13">
      <c r="B139" s="15"/>
      <c r="C139" s="36"/>
      <c r="D139" s="19"/>
      <c r="E139" s="31"/>
      <c r="F139" s="30"/>
      <c r="G139" s="35"/>
      <c r="H139" s="33"/>
      <c r="I139" s="42"/>
      <c r="J139" s="16"/>
      <c r="K139" s="17"/>
      <c r="L139" s="5"/>
      <c r="M139" s="29"/>
    </row>
    <row r="140" spans="2:13">
      <c r="B140" s="15"/>
      <c r="C140" s="36"/>
      <c r="D140" s="19"/>
      <c r="E140" s="31"/>
      <c r="F140" s="30"/>
      <c r="G140" s="35"/>
      <c r="H140" s="33"/>
      <c r="I140" s="42"/>
      <c r="J140" s="16"/>
      <c r="K140" s="17"/>
      <c r="L140" s="5"/>
      <c r="M140" s="29"/>
    </row>
    <row r="141" spans="2:13">
      <c r="B141" s="15"/>
      <c r="C141" s="36"/>
      <c r="D141" s="19"/>
      <c r="E141" s="31"/>
      <c r="F141" s="30"/>
      <c r="G141" s="35"/>
      <c r="H141" s="33"/>
      <c r="I141" s="42"/>
      <c r="J141" s="16"/>
      <c r="K141" s="17"/>
      <c r="L141" s="5"/>
      <c r="M141" s="29"/>
    </row>
    <row r="142" spans="2:13">
      <c r="B142" s="15"/>
      <c r="C142" s="36"/>
      <c r="D142" s="19"/>
      <c r="E142" s="31"/>
      <c r="F142" s="30"/>
      <c r="G142" s="35"/>
      <c r="H142" s="33"/>
      <c r="I142" s="42"/>
      <c r="J142" s="16"/>
      <c r="K142" s="17"/>
      <c r="L142" s="5"/>
      <c r="M142" s="29"/>
    </row>
    <row r="143" spans="2:13">
      <c r="B143" s="15"/>
      <c r="C143" s="36"/>
      <c r="D143" s="19"/>
      <c r="E143" s="31"/>
      <c r="F143" s="30"/>
      <c r="G143" s="35"/>
      <c r="H143" s="33"/>
      <c r="I143" s="42"/>
      <c r="J143" s="16"/>
      <c r="K143" s="17"/>
      <c r="L143" s="5"/>
      <c r="M143" s="29"/>
    </row>
    <row r="144" spans="2:13">
      <c r="B144" s="15"/>
      <c r="C144" s="36"/>
      <c r="D144" s="19"/>
      <c r="E144" s="31"/>
      <c r="F144" s="30"/>
      <c r="G144" s="35"/>
      <c r="H144" s="33"/>
      <c r="I144" s="42"/>
      <c r="J144" s="16"/>
      <c r="K144" s="17"/>
      <c r="L144" s="5"/>
      <c r="M144" s="29"/>
    </row>
    <row r="145" spans="2:13">
      <c r="B145" s="15"/>
      <c r="C145" s="36"/>
      <c r="D145" s="19"/>
      <c r="E145" s="31"/>
      <c r="F145" s="30"/>
      <c r="G145" s="35"/>
      <c r="H145" s="33"/>
      <c r="I145" s="42"/>
      <c r="J145" s="16"/>
      <c r="K145" s="17"/>
      <c r="L145" s="5"/>
      <c r="M145" s="29"/>
    </row>
    <row r="146" spans="2:13">
      <c r="B146" s="15"/>
      <c r="C146" s="36"/>
      <c r="D146" s="19"/>
      <c r="E146" s="31"/>
      <c r="F146" s="30"/>
      <c r="G146" s="35"/>
      <c r="H146" s="33"/>
      <c r="I146" s="42"/>
      <c r="J146" s="16"/>
      <c r="K146" s="17"/>
      <c r="L146" s="5"/>
      <c r="M146" s="29"/>
    </row>
    <row r="147" spans="2:13">
      <c r="B147" s="15"/>
      <c r="C147" s="36"/>
      <c r="D147" s="19"/>
      <c r="E147" s="31"/>
      <c r="F147" s="30"/>
      <c r="G147" s="35"/>
      <c r="H147" s="33"/>
      <c r="I147" s="42"/>
      <c r="J147" s="16"/>
      <c r="K147" s="17"/>
      <c r="L147" s="5"/>
      <c r="M147" s="29"/>
    </row>
    <row r="148" spans="2:13">
      <c r="B148" s="15"/>
      <c r="C148" s="36"/>
      <c r="D148" s="19"/>
      <c r="E148" s="31"/>
      <c r="F148" s="30"/>
      <c r="G148" s="35"/>
      <c r="H148" s="33"/>
      <c r="I148" s="42"/>
      <c r="J148" s="16"/>
      <c r="K148" s="17"/>
      <c r="L148" s="5"/>
      <c r="M148" s="29"/>
    </row>
    <row r="149" spans="2:13">
      <c r="B149" s="15"/>
      <c r="C149" s="36"/>
      <c r="D149" s="19"/>
      <c r="E149" s="31"/>
      <c r="F149" s="30"/>
      <c r="G149" s="35"/>
      <c r="H149" s="33"/>
      <c r="I149" s="42"/>
      <c r="J149" s="16"/>
      <c r="K149" s="17"/>
      <c r="L149" s="5"/>
      <c r="M149" s="29"/>
    </row>
    <row r="150" spans="2:13">
      <c r="B150" s="15"/>
      <c r="C150" s="36"/>
      <c r="D150" s="19"/>
      <c r="E150" s="31"/>
      <c r="F150" s="30"/>
      <c r="G150" s="35"/>
      <c r="H150" s="33"/>
      <c r="I150" s="42"/>
      <c r="J150" s="16"/>
      <c r="K150" s="17"/>
      <c r="L150" s="5"/>
      <c r="M150" s="29"/>
    </row>
    <row r="151" spans="2:13">
      <c r="B151" s="15"/>
      <c r="C151" s="36"/>
      <c r="D151" s="19"/>
      <c r="E151" s="31"/>
      <c r="F151" s="30"/>
      <c r="G151" s="35"/>
      <c r="H151" s="33"/>
      <c r="I151" s="42"/>
      <c r="J151" s="16"/>
      <c r="K151" s="17"/>
      <c r="L151" s="5"/>
      <c r="M151" s="29"/>
    </row>
    <row r="152" spans="2:13">
      <c r="B152" s="15"/>
      <c r="C152" s="36"/>
      <c r="D152" s="19"/>
      <c r="E152" s="31"/>
      <c r="F152" s="30"/>
      <c r="G152" s="35"/>
      <c r="H152" s="33"/>
      <c r="I152" s="42"/>
      <c r="J152" s="16"/>
      <c r="K152" s="17"/>
      <c r="L152" s="5"/>
      <c r="M152" s="29"/>
    </row>
    <row r="153" spans="2:13">
      <c r="B153" s="15"/>
      <c r="C153" s="36"/>
      <c r="D153" s="19"/>
      <c r="E153" s="31"/>
      <c r="F153" s="30"/>
      <c r="G153" s="35"/>
      <c r="H153" s="33"/>
      <c r="I153" s="42"/>
      <c r="J153" s="16"/>
      <c r="K153" s="17"/>
      <c r="L153" s="5"/>
      <c r="M153" s="29"/>
    </row>
    <row r="154" spans="2:13">
      <c r="B154" s="15"/>
      <c r="C154" s="36"/>
      <c r="D154" s="19"/>
      <c r="E154" s="31"/>
      <c r="F154" s="30"/>
      <c r="G154" s="35"/>
      <c r="H154" s="33"/>
      <c r="I154" s="42"/>
      <c r="J154" s="16"/>
      <c r="K154" s="17"/>
      <c r="L154" s="5"/>
      <c r="M154" s="29"/>
    </row>
    <row r="155" spans="2:13">
      <c r="B155" s="15"/>
      <c r="C155" s="36"/>
      <c r="D155" s="19"/>
      <c r="E155" s="31"/>
      <c r="F155" s="30"/>
      <c r="G155" s="35"/>
      <c r="H155" s="33"/>
      <c r="I155" s="42"/>
      <c r="J155" s="16"/>
      <c r="K155" s="17"/>
      <c r="L155" s="5"/>
      <c r="M155" s="29"/>
    </row>
    <row r="156" spans="2:13">
      <c r="B156" s="15"/>
      <c r="C156" s="36"/>
      <c r="D156" s="19"/>
      <c r="E156" s="31"/>
      <c r="F156" s="30"/>
      <c r="G156" s="35"/>
      <c r="H156" s="33"/>
      <c r="I156" s="42"/>
      <c r="J156" s="16"/>
      <c r="K156" s="17"/>
      <c r="L156" s="5"/>
      <c r="M156" s="29"/>
    </row>
    <row r="157" spans="2:13">
      <c r="B157" s="15"/>
      <c r="C157" s="36"/>
      <c r="D157" s="19"/>
      <c r="E157" s="31"/>
      <c r="F157" s="30"/>
      <c r="G157" s="35"/>
      <c r="H157" s="33"/>
      <c r="I157" s="42"/>
      <c r="J157" s="16"/>
      <c r="K157" s="17"/>
      <c r="L157" s="5"/>
      <c r="M157" s="29"/>
    </row>
    <row r="158" spans="2:13">
      <c r="B158" s="15"/>
      <c r="C158" s="36"/>
      <c r="D158" s="19"/>
      <c r="E158" s="31"/>
      <c r="F158" s="30"/>
      <c r="G158" s="35"/>
      <c r="H158" s="33"/>
      <c r="I158" s="42"/>
      <c r="J158" s="16"/>
      <c r="K158" s="17"/>
      <c r="L158" s="5"/>
      <c r="M158" s="29"/>
    </row>
    <row r="159" spans="2:13">
      <c r="B159" s="15"/>
      <c r="C159" s="36"/>
      <c r="D159" s="19"/>
      <c r="E159" s="31"/>
      <c r="F159" s="30"/>
      <c r="G159" s="35"/>
      <c r="H159" s="33"/>
      <c r="I159" s="42"/>
      <c r="J159" s="16"/>
      <c r="K159" s="17"/>
      <c r="L159" s="5"/>
      <c r="M159" s="29"/>
    </row>
    <row r="160" spans="2:13">
      <c r="B160" s="15"/>
      <c r="C160" s="36"/>
      <c r="D160" s="19"/>
      <c r="E160" s="31"/>
      <c r="F160" s="30"/>
      <c r="G160" s="35"/>
      <c r="H160" s="33"/>
      <c r="I160" s="42"/>
      <c r="J160" s="16"/>
      <c r="K160" s="17"/>
      <c r="L160" s="5"/>
      <c r="M160" s="29"/>
    </row>
    <row r="161" spans="2:13">
      <c r="B161" s="15"/>
      <c r="C161" s="36"/>
      <c r="D161" s="19"/>
      <c r="E161" s="31"/>
      <c r="F161" s="30"/>
      <c r="G161" s="35"/>
      <c r="H161" s="33"/>
      <c r="I161" s="42"/>
      <c r="J161" s="16"/>
      <c r="K161" s="17"/>
      <c r="L161" s="5"/>
      <c r="M161" s="29"/>
    </row>
    <row r="162" spans="2:13">
      <c r="B162" s="15"/>
      <c r="C162" s="36"/>
      <c r="D162" s="19"/>
      <c r="E162" s="31"/>
      <c r="F162" s="30"/>
      <c r="G162" s="35"/>
      <c r="H162" s="33"/>
      <c r="I162" s="42"/>
      <c r="J162" s="16"/>
      <c r="K162" s="17"/>
      <c r="L162" s="5"/>
      <c r="M162" s="29"/>
    </row>
    <row r="163" spans="2:13">
      <c r="B163" s="15"/>
      <c r="C163" s="36"/>
      <c r="D163" s="19"/>
      <c r="E163" s="31"/>
      <c r="F163" s="30"/>
      <c r="G163" s="35"/>
      <c r="H163" s="33"/>
      <c r="I163" s="42"/>
      <c r="J163" s="16"/>
      <c r="K163" s="17"/>
      <c r="L163" s="5"/>
      <c r="M163" s="29"/>
    </row>
    <row r="164" spans="2:13">
      <c r="B164" s="15"/>
      <c r="C164" s="36"/>
      <c r="D164" s="19"/>
      <c r="E164" s="31"/>
      <c r="F164" s="30"/>
      <c r="G164" s="35"/>
      <c r="H164" s="33"/>
      <c r="I164" s="42"/>
      <c r="J164" s="16"/>
      <c r="K164" s="17"/>
      <c r="L164" s="5"/>
      <c r="M164" s="29"/>
    </row>
    <row r="165" spans="2:13">
      <c r="B165" s="15"/>
      <c r="C165" s="36"/>
      <c r="D165" s="19"/>
      <c r="E165" s="31"/>
      <c r="F165" s="30"/>
      <c r="G165" s="35"/>
      <c r="H165" s="33"/>
      <c r="I165" s="42"/>
      <c r="J165" s="16"/>
      <c r="K165" s="17"/>
      <c r="L165" s="5"/>
      <c r="M165" s="29"/>
    </row>
    <row r="166" spans="2:13">
      <c r="B166" s="15"/>
      <c r="C166" s="36"/>
      <c r="D166" s="19"/>
      <c r="E166" s="31"/>
      <c r="F166" s="30"/>
      <c r="G166" s="35"/>
      <c r="H166" s="33"/>
      <c r="I166" s="42"/>
      <c r="J166" s="16"/>
      <c r="K166" s="17"/>
      <c r="L166" s="5"/>
      <c r="M166" s="29"/>
    </row>
    <row r="167" spans="2:13">
      <c r="B167" s="15"/>
      <c r="C167" s="36"/>
      <c r="D167" s="19"/>
      <c r="E167" s="31"/>
      <c r="F167" s="30"/>
      <c r="G167" s="35"/>
      <c r="H167" s="33"/>
      <c r="I167" s="42"/>
      <c r="J167" s="16"/>
      <c r="K167" s="17"/>
      <c r="L167" s="5"/>
      <c r="M167" s="29"/>
    </row>
    <row r="168" spans="2:13">
      <c r="B168" s="15"/>
      <c r="C168" s="36"/>
      <c r="D168" s="19"/>
      <c r="E168" s="31"/>
      <c r="F168" s="30"/>
      <c r="G168" s="35"/>
      <c r="H168" s="33"/>
      <c r="I168" s="42"/>
      <c r="J168" s="16"/>
      <c r="K168" s="17"/>
      <c r="L168" s="5"/>
      <c r="M168" s="29"/>
    </row>
    <row r="169" spans="2:13">
      <c r="B169" s="15"/>
      <c r="C169" s="36"/>
      <c r="D169" s="19"/>
      <c r="E169" s="31"/>
      <c r="F169" s="30"/>
      <c r="G169" s="35"/>
      <c r="H169" s="33"/>
      <c r="I169" s="42"/>
      <c r="J169" s="16"/>
      <c r="K169" s="17"/>
      <c r="L169" s="5"/>
      <c r="M169" s="29"/>
    </row>
    <row r="170" spans="2:13">
      <c r="B170" s="15"/>
      <c r="C170" s="36"/>
      <c r="D170" s="19"/>
      <c r="E170" s="31"/>
      <c r="F170" s="30"/>
      <c r="G170" s="35"/>
      <c r="H170" s="33"/>
      <c r="I170" s="42"/>
      <c r="J170" s="16"/>
      <c r="K170" s="17"/>
      <c r="L170" s="5"/>
      <c r="M170" s="29"/>
    </row>
    <row r="171" spans="2:13">
      <c r="B171" s="15"/>
      <c r="C171" s="36"/>
      <c r="D171" s="19"/>
      <c r="E171" s="31"/>
      <c r="F171" s="30"/>
      <c r="G171" s="35"/>
      <c r="H171" s="33"/>
      <c r="I171" s="42"/>
      <c r="J171" s="16"/>
      <c r="K171" s="17"/>
      <c r="L171" s="5"/>
      <c r="M171" s="29"/>
    </row>
    <row r="172" spans="2:13">
      <c r="B172" s="15"/>
      <c r="C172" s="36"/>
      <c r="D172" s="19"/>
      <c r="E172" s="31"/>
      <c r="F172" s="30"/>
      <c r="G172" s="35"/>
      <c r="H172" s="33"/>
      <c r="I172" s="42"/>
      <c r="J172" s="16"/>
      <c r="K172" s="17"/>
      <c r="L172" s="5"/>
      <c r="M172" s="29"/>
    </row>
    <row r="173" spans="2:13">
      <c r="B173" s="15"/>
      <c r="C173" s="36"/>
      <c r="D173" s="19"/>
      <c r="E173" s="31"/>
      <c r="F173" s="30"/>
      <c r="G173" s="35"/>
      <c r="H173" s="33"/>
      <c r="I173" s="42"/>
      <c r="J173" s="16"/>
      <c r="K173" s="17"/>
      <c r="L173" s="5"/>
      <c r="M173" s="29"/>
    </row>
    <row r="174" spans="2:13">
      <c r="B174" s="15"/>
      <c r="C174" s="36"/>
      <c r="D174" s="19"/>
      <c r="E174" s="31"/>
      <c r="F174" s="30"/>
      <c r="G174" s="35"/>
      <c r="H174" s="33"/>
      <c r="I174" s="42"/>
      <c r="J174" s="16"/>
      <c r="K174" s="17"/>
      <c r="L174" s="5"/>
      <c r="M174" s="29"/>
    </row>
    <row r="175" spans="2:13">
      <c r="B175" s="15"/>
      <c r="C175" s="36"/>
      <c r="D175" s="19"/>
      <c r="E175" s="31"/>
      <c r="F175" s="30"/>
      <c r="G175" s="35"/>
      <c r="H175" s="33"/>
      <c r="I175" s="42"/>
      <c r="J175" s="16"/>
      <c r="K175" s="17"/>
      <c r="L175" s="5"/>
      <c r="M175" s="29"/>
    </row>
    <row r="176" spans="2:13">
      <c r="B176" s="15"/>
      <c r="C176" s="36"/>
      <c r="D176" s="19"/>
      <c r="E176" s="32"/>
      <c r="F176" s="30"/>
      <c r="G176" s="35"/>
      <c r="H176" s="34"/>
      <c r="I176" s="38"/>
      <c r="J176" s="47"/>
      <c r="K176" s="17"/>
      <c r="L176" s="5"/>
      <c r="M176" s="29"/>
    </row>
    <row r="177" spans="1:13">
      <c r="B177" s="15"/>
      <c r="C177" s="36"/>
      <c r="D177" s="30"/>
      <c r="E177" s="32"/>
      <c r="F177" s="30"/>
      <c r="G177" s="35"/>
      <c r="H177" s="34"/>
      <c r="I177" s="44"/>
      <c r="J177" s="47"/>
      <c r="K177" s="17"/>
      <c r="L177" s="5"/>
      <c r="M177" s="29"/>
    </row>
    <row r="178" spans="1:13">
      <c r="B178" s="15"/>
      <c r="C178" s="36"/>
      <c r="D178" s="30"/>
      <c r="E178" s="32"/>
      <c r="F178" s="30"/>
      <c r="G178" s="35"/>
      <c r="H178" s="34"/>
      <c r="I178" s="43"/>
      <c r="J178" s="47"/>
      <c r="K178" s="17"/>
      <c r="L178" s="5"/>
      <c r="M178" s="29"/>
    </row>
    <row r="179" spans="1:13">
      <c r="B179" s="15"/>
      <c r="C179" s="36"/>
      <c r="D179" s="19"/>
      <c r="E179" s="32"/>
      <c r="F179" s="30"/>
      <c r="G179" s="35"/>
      <c r="H179" s="34"/>
      <c r="I179" s="44"/>
      <c r="J179" s="48"/>
      <c r="K179" s="17"/>
      <c r="L179" s="5"/>
      <c r="M179" s="29"/>
    </row>
    <row r="180" spans="1:13">
      <c r="B180" s="15"/>
      <c r="C180" s="36"/>
      <c r="D180" s="19"/>
      <c r="E180" s="32"/>
      <c r="F180" s="30"/>
      <c r="G180" s="35"/>
      <c r="H180" s="34"/>
      <c r="I180" s="43"/>
      <c r="J180" s="49"/>
      <c r="K180" s="17"/>
      <c r="L180" s="5"/>
      <c r="M180" s="29"/>
    </row>
    <row r="181" spans="1:13">
      <c r="B181" s="15"/>
      <c r="C181" s="36"/>
      <c r="D181" s="19"/>
      <c r="E181" s="32"/>
      <c r="F181" s="30"/>
      <c r="G181" s="35"/>
      <c r="H181" s="34"/>
      <c r="I181" s="43"/>
      <c r="J181" s="16"/>
      <c r="K181" s="17"/>
      <c r="L181" s="5"/>
      <c r="M181" s="29"/>
    </row>
    <row r="182" spans="1:13">
      <c r="B182" s="15"/>
      <c r="C182" s="36"/>
      <c r="D182" s="19"/>
      <c r="E182" s="37"/>
      <c r="F182" s="30"/>
      <c r="G182" s="35"/>
      <c r="H182" s="34"/>
      <c r="I182" s="45"/>
      <c r="J182" s="16"/>
      <c r="K182" s="17"/>
      <c r="L182" s="5"/>
      <c r="M182" s="29"/>
    </row>
    <row r="183" spans="1:13">
      <c r="B183" s="15"/>
      <c r="C183" s="36"/>
      <c r="D183" s="19"/>
      <c r="E183" s="37"/>
      <c r="F183" s="30"/>
      <c r="G183" s="35"/>
      <c r="H183" s="38"/>
      <c r="I183" s="43"/>
      <c r="J183" s="16"/>
      <c r="K183" s="17"/>
      <c r="L183" s="5"/>
      <c r="M183" s="29"/>
    </row>
    <row r="184" spans="1:13">
      <c r="B184" s="15"/>
      <c r="C184" s="36"/>
      <c r="D184" s="30"/>
      <c r="E184" s="37"/>
      <c r="F184" s="30"/>
      <c r="G184" s="35"/>
      <c r="H184" s="39"/>
      <c r="I184" s="43"/>
      <c r="J184" s="16"/>
      <c r="K184" s="17"/>
      <c r="L184" s="5"/>
      <c r="M184" s="29"/>
    </row>
    <row r="185" spans="1:13">
      <c r="B185" s="15"/>
      <c r="C185" s="36"/>
      <c r="D185" s="30"/>
      <c r="E185" s="37"/>
      <c r="F185" s="30"/>
      <c r="G185" s="35"/>
      <c r="H185" s="34"/>
      <c r="I185" s="43"/>
      <c r="J185" s="16"/>
      <c r="K185" s="17"/>
      <c r="L185" s="5"/>
      <c r="M185" s="29"/>
    </row>
    <row r="186" spans="1:13">
      <c r="B186" s="15"/>
      <c r="C186" s="36"/>
      <c r="D186" s="19"/>
      <c r="E186" s="37"/>
      <c r="F186" s="30"/>
      <c r="G186" s="35"/>
      <c r="H186" s="39"/>
      <c r="I186" s="43"/>
      <c r="J186" s="16"/>
      <c r="K186" s="17"/>
      <c r="L186" s="5"/>
      <c r="M186" s="29"/>
    </row>
    <row r="187" spans="1:13">
      <c r="B187" s="15"/>
      <c r="C187" s="36"/>
      <c r="D187" s="19"/>
      <c r="E187" s="37"/>
      <c r="F187" s="30"/>
      <c r="G187" s="35"/>
      <c r="H187" s="34"/>
      <c r="I187" s="43"/>
      <c r="J187" s="16"/>
      <c r="K187" s="17"/>
      <c r="L187" s="5"/>
      <c r="M187" s="29"/>
    </row>
    <row r="188" spans="1:13">
      <c r="B188" s="15"/>
      <c r="C188" s="36"/>
      <c r="D188" s="19"/>
      <c r="E188" s="37"/>
      <c r="F188" s="30"/>
      <c r="G188" s="35"/>
      <c r="H188" s="34"/>
      <c r="I188" s="43"/>
      <c r="J188" s="16"/>
      <c r="K188" s="17"/>
      <c r="L188" s="5"/>
      <c r="M188" s="29"/>
    </row>
    <row r="189" spans="1:13" ht="14">
      <c r="A189" s="77" t="s">
        <v>152</v>
      </c>
      <c r="B189" s="15"/>
      <c r="C189" s="36"/>
      <c r="D189" s="19"/>
      <c r="E189" s="31"/>
      <c r="F189" s="30"/>
      <c r="G189" s="35"/>
      <c r="H189" s="40"/>
      <c r="I189" s="43"/>
      <c r="J189" s="16"/>
      <c r="K189" s="17"/>
      <c r="L189" s="5"/>
      <c r="M189" s="29"/>
    </row>
    <row r="190" spans="1:13" ht="15">
      <c r="A190" s="77" t="s">
        <v>153</v>
      </c>
      <c r="B190" s="15"/>
      <c r="C190" s="36"/>
      <c r="D190" s="19"/>
      <c r="E190" s="31"/>
      <c r="F190" s="30"/>
      <c r="G190" s="35"/>
      <c r="H190" s="34"/>
      <c r="I190" s="43"/>
      <c r="J190" s="16"/>
      <c r="K190" s="17"/>
      <c r="L190" s="5"/>
      <c r="M190" s="29"/>
    </row>
    <row r="191" spans="1:13" ht="14">
      <c r="A191" s="77" t="s">
        <v>152</v>
      </c>
      <c r="B191" s="15"/>
      <c r="C191" s="36"/>
      <c r="D191" s="19"/>
      <c r="E191" s="31"/>
      <c r="F191" s="30"/>
      <c r="G191" s="35"/>
      <c r="H191" s="34"/>
      <c r="I191" s="43"/>
      <c r="J191" s="16"/>
      <c r="K191" s="17"/>
      <c r="L191" s="5"/>
      <c r="M191" s="29"/>
    </row>
    <row r="192" spans="1:13" ht="15">
      <c r="A192" s="77" t="s">
        <v>154</v>
      </c>
      <c r="B192" s="15"/>
      <c r="C192" s="36"/>
      <c r="D192" s="19"/>
      <c r="E192" s="31"/>
      <c r="F192" s="30"/>
      <c r="G192" s="35"/>
      <c r="H192" s="34"/>
      <c r="I192" s="43"/>
      <c r="J192" s="16"/>
      <c r="K192" s="17"/>
      <c r="L192" s="5"/>
      <c r="M192" s="29"/>
    </row>
    <row r="193" spans="1:13">
      <c r="A193" s="78"/>
      <c r="B193" s="15"/>
      <c r="C193" s="36"/>
      <c r="D193" s="41"/>
      <c r="E193" s="31"/>
      <c r="F193" s="30"/>
      <c r="G193" s="35"/>
      <c r="H193" s="34"/>
      <c r="I193" s="43"/>
      <c r="J193" s="16"/>
      <c r="K193" s="17"/>
      <c r="L193" s="5"/>
      <c r="M193" s="29"/>
    </row>
    <row r="194" spans="1:13" ht="14">
      <c r="A194" s="77" t="s">
        <v>155</v>
      </c>
      <c r="B194" s="15"/>
      <c r="C194" s="36"/>
      <c r="D194" s="41"/>
      <c r="E194" s="31"/>
      <c r="F194" s="30"/>
      <c r="G194" s="35"/>
      <c r="H194" s="34"/>
      <c r="I194" s="43"/>
      <c r="J194" s="16"/>
      <c r="K194" s="17"/>
      <c r="L194" s="5"/>
      <c r="M194" s="29"/>
    </row>
    <row r="195" spans="1:13" ht="18">
      <c r="A195" s="77" t="s">
        <v>156</v>
      </c>
      <c r="B195" s="15"/>
      <c r="C195" s="36"/>
      <c r="D195" s="19"/>
      <c r="E195" s="31"/>
      <c r="F195" s="30"/>
      <c r="G195" s="35"/>
      <c r="H195" s="34"/>
      <c r="I195" s="43"/>
      <c r="J195" s="16"/>
      <c r="K195" s="17"/>
      <c r="L195" s="5"/>
      <c r="M195" s="29"/>
    </row>
    <row r="196" spans="1:13" ht="15">
      <c r="A196" s="77" t="s">
        <v>157</v>
      </c>
      <c r="B196" s="15"/>
      <c r="C196" s="36"/>
      <c r="D196" s="19"/>
      <c r="E196" s="19"/>
      <c r="F196" s="19"/>
      <c r="G196" s="20"/>
      <c r="H196" s="34"/>
      <c r="I196" s="43"/>
      <c r="J196" s="16"/>
      <c r="K196" s="17"/>
      <c r="L196" s="5"/>
      <c r="M196" s="29"/>
    </row>
    <row r="197" spans="1:13" ht="15">
      <c r="A197" s="77" t="s">
        <v>153</v>
      </c>
      <c r="B197" s="15"/>
      <c r="C197" s="36"/>
      <c r="D197" s="19"/>
      <c r="E197" s="19"/>
      <c r="F197" s="19"/>
      <c r="G197" s="20"/>
      <c r="H197" s="34"/>
      <c r="I197" s="43"/>
      <c r="J197" s="16"/>
      <c r="K197" s="17"/>
      <c r="L197" s="5"/>
      <c r="M197" s="29"/>
    </row>
    <row r="198" spans="1:13">
      <c r="A198" s="77"/>
      <c r="B198" s="15"/>
      <c r="C198" s="36"/>
      <c r="D198" s="19"/>
      <c r="E198" s="19"/>
      <c r="F198" s="19"/>
      <c r="G198" s="20"/>
      <c r="H198" s="34"/>
      <c r="I198" s="43"/>
      <c r="J198" s="16"/>
      <c r="K198" s="17"/>
      <c r="L198" s="5"/>
      <c r="M198" s="29"/>
    </row>
    <row r="199" spans="1:13" ht="15">
      <c r="A199" s="77" t="s">
        <v>158</v>
      </c>
      <c r="B199" s="15"/>
      <c r="C199" s="36"/>
      <c r="D199" s="19"/>
      <c r="E199" s="19"/>
      <c r="F199" s="19"/>
      <c r="G199" s="20"/>
      <c r="H199" s="34"/>
      <c r="I199" s="43"/>
      <c r="J199" s="16"/>
      <c r="K199" s="17"/>
      <c r="L199" s="5"/>
      <c r="M199" s="29"/>
    </row>
    <row r="200" spans="1:13" ht="15">
      <c r="A200" s="77" t="s">
        <v>158</v>
      </c>
      <c r="B200" s="15"/>
      <c r="C200" s="36"/>
      <c r="D200" s="19"/>
      <c r="E200" s="19"/>
      <c r="F200" s="19"/>
      <c r="G200" s="20"/>
      <c r="H200" s="34"/>
      <c r="I200" s="43"/>
      <c r="J200" s="16"/>
      <c r="K200" s="17"/>
      <c r="L200" s="5"/>
      <c r="M200" s="29"/>
    </row>
    <row r="201" spans="1:13" ht="14">
      <c r="A201" s="77" t="s">
        <v>159</v>
      </c>
      <c r="B201" s="15"/>
      <c r="C201" s="36"/>
      <c r="D201" s="19"/>
      <c r="E201" s="19"/>
      <c r="F201" s="19"/>
      <c r="G201" s="20"/>
      <c r="H201" s="34"/>
      <c r="I201" s="43"/>
      <c r="J201" s="16"/>
      <c r="K201" s="17"/>
      <c r="L201" s="5"/>
      <c r="M201" s="29"/>
    </row>
    <row r="202" spans="1:13">
      <c r="B202" s="15"/>
      <c r="C202" s="36"/>
      <c r="D202" s="19"/>
      <c r="E202" s="19"/>
      <c r="F202" s="19"/>
      <c r="G202" s="20"/>
      <c r="H202" s="34"/>
      <c r="I202" s="43"/>
      <c r="J202" s="16"/>
      <c r="K202" s="17"/>
      <c r="L202" s="5"/>
      <c r="M202" s="29"/>
    </row>
    <row r="203" spans="1:13">
      <c r="B203" s="15"/>
      <c r="C203" s="18"/>
      <c r="D203" s="19"/>
      <c r="E203" s="19"/>
      <c r="F203" s="19"/>
      <c r="G203" s="20"/>
      <c r="H203" s="34"/>
      <c r="I203" s="43"/>
      <c r="J203" s="16"/>
      <c r="K203" s="17"/>
      <c r="L203" s="5"/>
      <c r="M203" s="29"/>
    </row>
    <row r="204" spans="1:13">
      <c r="B204" s="15"/>
      <c r="C204" s="18"/>
      <c r="D204" s="19"/>
      <c r="E204" s="19"/>
      <c r="F204" s="19"/>
      <c r="G204" s="20"/>
      <c r="H204" s="34"/>
      <c r="I204" s="43"/>
      <c r="J204" s="16"/>
      <c r="K204" s="17"/>
      <c r="L204" s="5"/>
      <c r="M204" s="29"/>
    </row>
    <row r="205" spans="1:13">
      <c r="B205" s="15"/>
      <c r="C205" s="18"/>
      <c r="D205" s="19"/>
      <c r="E205" s="19"/>
      <c r="F205" s="19"/>
      <c r="G205" s="20"/>
      <c r="H205" s="34"/>
      <c r="I205" s="34"/>
      <c r="J205" s="16"/>
      <c r="K205" s="17"/>
      <c r="L205" s="5"/>
      <c r="M205" s="29"/>
    </row>
    <row r="206" spans="1:13">
      <c r="B206" s="15"/>
      <c r="C206" s="18"/>
      <c r="D206" s="19"/>
      <c r="E206" s="19"/>
      <c r="F206" s="19"/>
      <c r="G206" s="20"/>
      <c r="H206" s="34"/>
      <c r="I206" s="34"/>
      <c r="J206" s="16"/>
      <c r="K206" s="17"/>
      <c r="L206" s="5"/>
      <c r="M206" s="29"/>
    </row>
    <row r="207" spans="1:13">
      <c r="B207" s="15"/>
      <c r="C207" s="18"/>
      <c r="D207" s="19"/>
      <c r="E207" s="19"/>
      <c r="F207" s="19"/>
      <c r="G207" s="20"/>
      <c r="H207" s="34"/>
      <c r="I207" s="34"/>
      <c r="J207" s="16"/>
      <c r="K207" s="17"/>
      <c r="L207" s="5"/>
      <c r="M207" s="29"/>
    </row>
    <row r="208" spans="1:13" s="78" customFormat="1" ht="13" thickBot="1">
      <c r="B208" s="79"/>
      <c r="C208" s="80"/>
      <c r="D208" s="81" t="s">
        <v>160</v>
      </c>
      <c r="E208" s="81"/>
      <c r="F208" s="81"/>
      <c r="G208" s="82"/>
      <c r="H208" s="83"/>
      <c r="I208" s="83"/>
      <c r="J208" s="84"/>
      <c r="K208" s="85"/>
      <c r="L208" s="86"/>
      <c r="M208" s="87"/>
    </row>
    <row r="209" spans="2:12" ht="13" thickBot="1">
      <c r="B209" s="28" t="s">
        <v>32</v>
      </c>
      <c r="C209" s="26"/>
      <c r="D209" s="26"/>
      <c r="E209" s="26"/>
      <c r="F209" s="26"/>
      <c r="G209" s="26"/>
      <c r="H209" s="50">
        <f>SUM(H20:H208)</f>
        <v>0</v>
      </c>
      <c r="I209" s="50">
        <f>SUM(I20:I208)</f>
        <v>0</v>
      </c>
      <c r="J209" s="26"/>
      <c r="K209" s="26"/>
      <c r="L209" s="27"/>
    </row>
    <row r="210" spans="2:12">
      <c r="B210" s="1" t="s">
        <v>33</v>
      </c>
    </row>
  </sheetData>
  <mergeCells count="12">
    <mergeCell ref="C19:G19"/>
    <mergeCell ref="K18:L18"/>
    <mergeCell ref="I12:J12"/>
    <mergeCell ref="I13:J13"/>
    <mergeCell ref="I14:J14"/>
    <mergeCell ref="I15:J15"/>
    <mergeCell ref="I8:J8"/>
    <mergeCell ref="I9:J9"/>
    <mergeCell ref="I10:J10"/>
    <mergeCell ref="I11:J11"/>
    <mergeCell ref="I16:J16"/>
    <mergeCell ref="H3:I3"/>
  </mergeCells>
  <phoneticPr fontId="9" type="noConversion"/>
  <conditionalFormatting sqref="J3">
    <cfRule type="containsText" dxfId="1" priority="2" stopIfTrue="1" operator="containsText" text="Imbalance">
      <formula>NOT(ISERROR(SEARCH("Imbalance",J3)))</formula>
    </cfRule>
  </conditionalFormatting>
  <conditionalFormatting sqref="J2">
    <cfRule type="containsText" dxfId="0" priority="1" stopIfTrue="1" operator="containsText" text="Imbalance">
      <formula>NOT(ISERROR(SEARCH("Imbalance",J2)))</formula>
    </cfRule>
  </conditionalFormatting>
  <dataValidations count="1">
    <dataValidation type="list" allowBlank="1" showInputMessage="1" sqref="I15:J15">
      <formula1>PopCache_GL_INTERFACE_REFERENCE7</formula1>
    </dataValidation>
  </dataValidations>
  <pageMargins left="0.75" right="0.75" top="1" bottom="1" header="0.5" footer="0.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context">
              <controlPr defaultSize="0" print="0" autoFill="0" autoPict="0" macro="[0]!Sheet1.CodecontextButton">
                <anchor>
                  <from>
                    <xdr:col>0</xdr:col>
                    <xdr:colOff>139700</xdr:colOff>
                    <xdr:row>1</xdr:row>
                    <xdr:rowOff>38100</xdr:rowOff>
                  </from>
                  <to>
                    <xdr:col>2</xdr:col>
                    <xdr:colOff>1079500</xdr:colOff>
                    <xdr:row>1</xdr:row>
                    <xdr:rowOff>215900</xdr:rowOff>
                  </to>
                </anchor>
              </controlPr>
            </control>
          </mc:Choice>
          <mc:Fallback/>
        </mc:AlternateContent>
        <mc:AlternateContent xmlns:mc="http://schemas.openxmlformats.org/markup-compatibility/2006">
          <mc:Choice Requires="x14">
            <control shapeId="1026" r:id="rId4" name="header">
              <controlPr defaultSize="0" print="0" autoFill="0" autoPict="0" macro="[0]!Sheet1.CodeheaderButton">
                <anchor>
                  <from>
                    <xdr:col>2</xdr:col>
                    <xdr:colOff>1079500</xdr:colOff>
                    <xdr:row>1</xdr:row>
                    <xdr:rowOff>38100</xdr:rowOff>
                  </from>
                  <to>
                    <xdr:col>3</xdr:col>
                    <xdr:colOff>1231900</xdr:colOff>
                    <xdr:row>1</xdr:row>
                    <xdr:rowOff>215900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51"/>
  <sheetViews>
    <sheetView workbookViewId="0">
      <selection activeCell="P55" sqref="P55"/>
    </sheetView>
  </sheetViews>
  <sheetFormatPr baseColWidth="10" defaultColWidth="8.83203125" defaultRowHeight="12" x14ac:dyDescent="0"/>
  <sheetData>
    <row r="1" spans="1:5">
      <c r="A1" s="53" t="s">
        <v>36</v>
      </c>
    </row>
    <row r="2" spans="1:5" ht="14">
      <c r="A2" s="54" t="s">
        <v>37</v>
      </c>
    </row>
    <row r="3" spans="1:5" ht="14">
      <c r="A3" s="54" t="s">
        <v>38</v>
      </c>
    </row>
    <row r="4" spans="1:5">
      <c r="B4" t="s">
        <v>39</v>
      </c>
    </row>
    <row r="5" spans="1:5">
      <c r="C5" t="s">
        <v>40</v>
      </c>
    </row>
    <row r="6" spans="1:5">
      <c r="E6" s="64" t="s">
        <v>71</v>
      </c>
    </row>
    <row r="7" spans="1:5">
      <c r="E7" s="64" t="s">
        <v>72</v>
      </c>
    </row>
    <row r="8" spans="1:5">
      <c r="B8" t="s">
        <v>41</v>
      </c>
    </row>
    <row r="10" spans="1:5">
      <c r="A10" s="55"/>
    </row>
    <row r="11" spans="1:5" ht="14">
      <c r="A11" s="53" t="s">
        <v>42</v>
      </c>
      <c r="B11" s="56" t="s">
        <v>43</v>
      </c>
    </row>
    <row r="12" spans="1:5">
      <c r="A12" s="57" t="s">
        <v>44</v>
      </c>
    </row>
    <row r="14" spans="1:5">
      <c r="A14" s="55" t="s">
        <v>45</v>
      </c>
    </row>
    <row r="15" spans="1:5">
      <c r="A15" s="55"/>
    </row>
    <row r="16" spans="1:5">
      <c r="A16" s="57" t="s">
        <v>46</v>
      </c>
    </row>
    <row r="17" spans="1:1">
      <c r="A17" s="55"/>
    </row>
    <row r="18" spans="1:1">
      <c r="A18" s="55" t="s">
        <v>47</v>
      </c>
    </row>
    <row r="19" spans="1:1">
      <c r="A19" s="55"/>
    </row>
    <row r="20" spans="1:1">
      <c r="A20" s="57" t="s">
        <v>66</v>
      </c>
    </row>
    <row r="21" spans="1:1">
      <c r="A21" s="55" t="s">
        <v>48</v>
      </c>
    </row>
    <row r="22" spans="1:1">
      <c r="A22" s="55" t="s">
        <v>49</v>
      </c>
    </row>
    <row r="23" spans="1:1">
      <c r="A23" s="55"/>
    </row>
    <row r="24" spans="1:1">
      <c r="A24" s="55" t="s">
        <v>50</v>
      </c>
    </row>
    <row r="25" spans="1:1">
      <c r="A25" s="55" t="s">
        <v>51</v>
      </c>
    </row>
    <row r="26" spans="1:1">
      <c r="A26" s="55"/>
    </row>
    <row r="27" spans="1:1">
      <c r="A27" s="58" t="s">
        <v>68</v>
      </c>
    </row>
    <row r="28" spans="1:1">
      <c r="A28" s="58" t="s">
        <v>67</v>
      </c>
    </row>
    <row r="29" spans="1:1">
      <c r="A29" s="58" t="s">
        <v>65</v>
      </c>
    </row>
    <row r="30" spans="1:1">
      <c r="A30" s="58"/>
    </row>
    <row r="31" spans="1:1">
      <c r="A31" s="55"/>
    </row>
    <row r="32" spans="1:1">
      <c r="A32" s="53" t="s">
        <v>52</v>
      </c>
    </row>
    <row r="33" spans="1:16">
      <c r="A33" s="55" t="s">
        <v>53</v>
      </c>
    </row>
    <row r="34" spans="1:16">
      <c r="A34" s="55"/>
    </row>
    <row r="35" spans="1:16">
      <c r="A35" s="55" t="s">
        <v>54</v>
      </c>
    </row>
    <row r="36" spans="1:16">
      <c r="A36" s="55"/>
    </row>
    <row r="37" spans="1:16">
      <c r="A37" s="55" t="s">
        <v>55</v>
      </c>
    </row>
    <row r="38" spans="1:16">
      <c r="A38" s="55"/>
    </row>
    <row r="39" spans="1:16">
      <c r="A39" s="55" t="s">
        <v>56</v>
      </c>
    </row>
    <row r="40" spans="1:16">
      <c r="A40" s="55"/>
    </row>
    <row r="41" spans="1:16">
      <c r="A41" s="55" t="s">
        <v>57</v>
      </c>
    </row>
    <row r="42" spans="1:16">
      <c r="A42" s="55" t="s">
        <v>58</v>
      </c>
    </row>
    <row r="43" spans="1:16" s="61" customFormat="1">
      <c r="A43" s="59" t="s">
        <v>69</v>
      </c>
      <c r="B43" s="60"/>
      <c r="C43" s="60"/>
      <c r="D43" s="60"/>
      <c r="E43" s="60"/>
      <c r="F43" s="60"/>
      <c r="G43" s="60"/>
      <c r="H43" s="60"/>
      <c r="I43" s="60"/>
      <c r="J43" s="60"/>
      <c r="K43" s="60"/>
      <c r="L43" s="60"/>
      <c r="M43" s="60"/>
      <c r="N43" s="60"/>
      <c r="O43" s="60"/>
      <c r="P43" s="60"/>
    </row>
    <row r="45" spans="1:16">
      <c r="A45" s="55" t="s">
        <v>64</v>
      </c>
    </row>
    <row r="46" spans="1:16">
      <c r="A46" s="55"/>
    </row>
    <row r="47" spans="1:16">
      <c r="A47" s="55" t="s">
        <v>59</v>
      </c>
    </row>
    <row r="48" spans="1:16">
      <c r="A48" s="55" t="s">
        <v>60</v>
      </c>
    </row>
    <row r="49" spans="1:1">
      <c r="A49" s="55" t="s">
        <v>61</v>
      </c>
    </row>
    <row r="50" spans="1:1">
      <c r="A50" s="55" t="s">
        <v>62</v>
      </c>
    </row>
    <row r="51" spans="1:1">
      <c r="A51" s="55" t="s">
        <v>63</v>
      </c>
    </row>
  </sheetData>
  <hyperlinks>
    <hyperlink ref="E6" r:id="rId1" display="http://phoenix.ps.gov.uk:8000/OA_HTML/OA.jsp?OAFunc=OAHOMEPAGE&amp;akRegionApplicationId=0&amp;navRespId=60517&amp;navRespAppId=20048&amp;navSecGrpId=0&amp;transactionid=2129895893&amp;oapc=2&amp;oas=7d3aa9QQEa7j9WinMpBTJg.."/>
    <hyperlink ref="E7" r:id="rId2" display="http://phoenix.ps.gov.uk:8000/OA_HTML/OA.jsp?OAFunc=OAHOMEPAGE&amp;akRegionApplicationId=0&amp;navRespId=60517&amp;navRespAppId=20048&amp;navSecGrpId=0&amp;transactionid=2129895893&amp;oapc=2&amp;oas=7d3aa9QQEa7j9WinMpBTJg.."/>
  </hyperlinks>
  <pageMargins left="0.7" right="0.7" top="0.75" bottom="0.75" header="0.3" footer="0.3"/>
  <drawing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2:I68"/>
  <sheetViews>
    <sheetView workbookViewId="0">
      <selection activeCell="E13" sqref="E13"/>
    </sheetView>
  </sheetViews>
  <sheetFormatPr baseColWidth="10" defaultColWidth="8.83203125" defaultRowHeight="12" x14ac:dyDescent="0"/>
  <cols>
    <col min="1" max="1" width="11.1640625" bestFit="1" customWidth="1"/>
    <col min="3" max="3" width="7.5" customWidth="1"/>
    <col min="4" max="4" width="29.33203125" bestFit="1" customWidth="1"/>
    <col min="5" max="5" width="17.33203125" bestFit="1" customWidth="1"/>
    <col min="6" max="6" width="11.5" customWidth="1"/>
    <col min="7" max="7" width="8.5" customWidth="1"/>
    <col min="8" max="8" width="7.6640625" customWidth="1"/>
    <col min="9" max="9" width="25.1640625" bestFit="1" customWidth="1"/>
  </cols>
  <sheetData>
    <row r="2" spans="1:9">
      <c r="A2" s="65" t="s">
        <v>73</v>
      </c>
    </row>
    <row r="3" spans="1:9">
      <c r="A3" t="s">
        <v>74</v>
      </c>
    </row>
    <row r="5" spans="1:9" s="65" customFormat="1">
      <c r="A5" s="65" t="s">
        <v>75</v>
      </c>
    </row>
    <row r="6" spans="1:9">
      <c r="A6" t="s">
        <v>76</v>
      </c>
    </row>
    <row r="7" spans="1:9">
      <c r="A7" t="s">
        <v>77</v>
      </c>
    </row>
    <row r="8" spans="1:9">
      <c r="A8" t="s">
        <v>78</v>
      </c>
    </row>
    <row r="9" spans="1:9">
      <c r="A9" t="s">
        <v>79</v>
      </c>
    </row>
    <row r="11" spans="1:9">
      <c r="A11" s="65" t="s">
        <v>80</v>
      </c>
    </row>
    <row r="12" spans="1:9">
      <c r="A12" t="s">
        <v>81</v>
      </c>
    </row>
    <row r="14" spans="1:9">
      <c r="A14" s="65" t="s">
        <v>82</v>
      </c>
    </row>
    <row r="16" spans="1:9">
      <c r="A16" s="104" t="s">
        <v>83</v>
      </c>
      <c r="B16" s="104"/>
      <c r="C16" s="104"/>
      <c r="D16" s="104"/>
      <c r="E16" s="66"/>
      <c r="F16" s="105" t="s">
        <v>84</v>
      </c>
      <c r="G16" s="106"/>
      <c r="H16" s="106"/>
      <c r="I16" s="107"/>
    </row>
    <row r="17" spans="1:9">
      <c r="A17" s="67" t="s">
        <v>85</v>
      </c>
      <c r="B17" s="67" t="s">
        <v>86</v>
      </c>
      <c r="C17" s="67" t="s">
        <v>87</v>
      </c>
      <c r="D17" s="67" t="s">
        <v>88</v>
      </c>
      <c r="E17" s="67"/>
      <c r="F17" s="67" t="s">
        <v>85</v>
      </c>
      <c r="G17" s="67" t="s">
        <v>86</v>
      </c>
      <c r="H17" s="67" t="s">
        <v>87</v>
      </c>
      <c r="I17" s="67" t="s">
        <v>88</v>
      </c>
    </row>
    <row r="18" spans="1:9">
      <c r="A18" s="68" t="s">
        <v>89</v>
      </c>
      <c r="B18" s="69" t="s">
        <v>90</v>
      </c>
      <c r="C18" s="70" t="s">
        <v>91</v>
      </c>
      <c r="D18" s="71" t="s">
        <v>92</v>
      </c>
      <c r="E18" s="68" t="s">
        <v>93</v>
      </c>
      <c r="F18" s="68" t="s">
        <v>94</v>
      </c>
      <c r="G18" s="69" t="s">
        <v>95</v>
      </c>
      <c r="H18" s="70" t="s">
        <v>96</v>
      </c>
      <c r="I18" s="71" t="s">
        <v>97</v>
      </c>
    </row>
    <row r="19" spans="1:9">
      <c r="A19" s="68" t="s">
        <v>89</v>
      </c>
      <c r="B19" s="69" t="s">
        <v>90</v>
      </c>
      <c r="C19" s="70" t="s">
        <v>98</v>
      </c>
      <c r="D19" s="71" t="s">
        <v>99</v>
      </c>
      <c r="E19" s="68" t="s">
        <v>93</v>
      </c>
      <c r="F19" s="72" t="s">
        <v>100</v>
      </c>
      <c r="G19" s="69" t="s">
        <v>95</v>
      </c>
      <c r="H19" s="73">
        <v>817061</v>
      </c>
      <c r="I19" s="68" t="s">
        <v>101</v>
      </c>
    </row>
    <row r="20" spans="1:9">
      <c r="A20" s="68" t="s">
        <v>89</v>
      </c>
      <c r="B20" s="69" t="s">
        <v>90</v>
      </c>
      <c r="C20" s="70" t="s">
        <v>102</v>
      </c>
      <c r="D20" s="71" t="s">
        <v>103</v>
      </c>
      <c r="E20" s="68" t="s">
        <v>93</v>
      </c>
      <c r="F20" s="68" t="s">
        <v>104</v>
      </c>
      <c r="G20" s="69" t="s">
        <v>95</v>
      </c>
      <c r="H20" s="74"/>
      <c r="I20" s="68" t="s">
        <v>105</v>
      </c>
    </row>
    <row r="21" spans="1:9">
      <c r="A21" s="68" t="s">
        <v>89</v>
      </c>
      <c r="B21" s="69" t="s">
        <v>90</v>
      </c>
      <c r="C21" s="70" t="s">
        <v>106</v>
      </c>
      <c r="D21" s="71" t="s">
        <v>107</v>
      </c>
      <c r="E21" s="68" t="s">
        <v>93</v>
      </c>
      <c r="F21" s="68" t="s">
        <v>108</v>
      </c>
      <c r="G21" s="69" t="s">
        <v>95</v>
      </c>
      <c r="H21" s="75" t="s">
        <v>109</v>
      </c>
      <c r="I21" s="71" t="s">
        <v>110</v>
      </c>
    </row>
    <row r="22" spans="1:9">
      <c r="A22" s="68" t="s">
        <v>89</v>
      </c>
      <c r="B22" s="69" t="s">
        <v>90</v>
      </c>
      <c r="C22" s="70" t="s">
        <v>111</v>
      </c>
      <c r="D22" s="71" t="s">
        <v>112</v>
      </c>
      <c r="E22" s="68" t="s">
        <v>93</v>
      </c>
      <c r="F22" s="68" t="s">
        <v>113</v>
      </c>
      <c r="G22" s="69" t="s">
        <v>95</v>
      </c>
      <c r="H22" s="70" t="s">
        <v>114</v>
      </c>
      <c r="I22" s="71" t="s">
        <v>115</v>
      </c>
    </row>
    <row r="23" spans="1:9">
      <c r="A23" s="68" t="s">
        <v>94</v>
      </c>
      <c r="B23" s="69" t="s">
        <v>90</v>
      </c>
      <c r="C23" s="70" t="s">
        <v>116</v>
      </c>
      <c r="D23" s="71" t="s">
        <v>117</v>
      </c>
      <c r="E23" s="68" t="s">
        <v>93</v>
      </c>
      <c r="F23" s="68" t="s">
        <v>89</v>
      </c>
      <c r="G23" s="69" t="s">
        <v>95</v>
      </c>
      <c r="H23" s="70" t="s">
        <v>118</v>
      </c>
      <c r="I23" s="71" t="s">
        <v>119</v>
      </c>
    </row>
    <row r="24" spans="1:9">
      <c r="A24" s="68" t="s">
        <v>113</v>
      </c>
      <c r="B24" s="69" t="s">
        <v>90</v>
      </c>
      <c r="C24" s="70" t="s">
        <v>120</v>
      </c>
      <c r="D24" s="71" t="s">
        <v>121</v>
      </c>
      <c r="E24" s="68" t="s">
        <v>93</v>
      </c>
      <c r="F24" s="68" t="s">
        <v>89</v>
      </c>
      <c r="G24" s="69" t="s">
        <v>95</v>
      </c>
      <c r="H24" s="70" t="s">
        <v>122</v>
      </c>
      <c r="I24" s="71" t="s">
        <v>123</v>
      </c>
    </row>
    <row r="25" spans="1:9">
      <c r="A25" s="68" t="s">
        <v>108</v>
      </c>
      <c r="B25" s="69" t="s">
        <v>90</v>
      </c>
      <c r="C25" s="75" t="s">
        <v>124</v>
      </c>
      <c r="D25" s="71" t="s">
        <v>125</v>
      </c>
      <c r="E25" s="68" t="s">
        <v>93</v>
      </c>
      <c r="F25" s="68" t="s">
        <v>89</v>
      </c>
      <c r="G25" s="69" t="s">
        <v>95</v>
      </c>
      <c r="H25" s="70" t="s">
        <v>126</v>
      </c>
      <c r="I25" s="71" t="s">
        <v>127</v>
      </c>
    </row>
    <row r="26" spans="1:9">
      <c r="A26" s="68" t="s">
        <v>104</v>
      </c>
      <c r="B26" s="69" t="s">
        <v>90</v>
      </c>
      <c r="C26" s="74"/>
      <c r="D26" s="68" t="s">
        <v>105</v>
      </c>
      <c r="E26" s="68" t="s">
        <v>93</v>
      </c>
      <c r="F26" s="68" t="s">
        <v>89</v>
      </c>
      <c r="G26" s="69" t="s">
        <v>95</v>
      </c>
      <c r="H26" s="70" t="s">
        <v>128</v>
      </c>
      <c r="I26" s="71" t="s">
        <v>129</v>
      </c>
    </row>
    <row r="27" spans="1:9">
      <c r="A27" s="72" t="s">
        <v>100</v>
      </c>
      <c r="B27" s="69" t="s">
        <v>90</v>
      </c>
      <c r="C27" s="76">
        <v>817051</v>
      </c>
      <c r="D27" s="68" t="s">
        <v>101</v>
      </c>
      <c r="E27" s="68" t="s">
        <v>93</v>
      </c>
      <c r="F27" s="68" t="s">
        <v>89</v>
      </c>
      <c r="G27" s="69" t="s">
        <v>95</v>
      </c>
      <c r="H27" s="70" t="s">
        <v>130</v>
      </c>
      <c r="I27" s="71" t="s">
        <v>131</v>
      </c>
    </row>
    <row r="30" spans="1:9">
      <c r="A30" s="65" t="s">
        <v>132</v>
      </c>
    </row>
    <row r="32" spans="1:9">
      <c r="A32" t="s">
        <v>133</v>
      </c>
    </row>
    <row r="33" spans="1:1">
      <c r="A33" t="s">
        <v>134</v>
      </c>
    </row>
    <row r="34" spans="1:1">
      <c r="A34" t="s">
        <v>135</v>
      </c>
    </row>
    <row r="36" spans="1:1">
      <c r="A36" s="65" t="s">
        <v>136</v>
      </c>
    </row>
    <row r="38" spans="1:1">
      <c r="A38" t="s">
        <v>137</v>
      </c>
    </row>
    <row r="40" spans="1:1">
      <c r="A40" t="s">
        <v>138</v>
      </c>
    </row>
    <row r="42" spans="1:1">
      <c r="A42" t="s">
        <v>139</v>
      </c>
    </row>
    <row r="44" spans="1:1">
      <c r="A44" t="s">
        <v>140</v>
      </c>
    </row>
    <row r="46" spans="1:1">
      <c r="A46" s="65" t="s">
        <v>141</v>
      </c>
    </row>
    <row r="48" spans="1:1">
      <c r="A48" t="s">
        <v>142</v>
      </c>
    </row>
    <row r="50" spans="1:1">
      <c r="A50" t="s">
        <v>143</v>
      </c>
    </row>
    <row r="52" spans="1:1">
      <c r="A52" t="s">
        <v>150</v>
      </c>
    </row>
    <row r="54" spans="1:1">
      <c r="A54" t="s">
        <v>140</v>
      </c>
    </row>
    <row r="56" spans="1:1">
      <c r="A56" s="65" t="s">
        <v>144</v>
      </c>
    </row>
    <row r="58" spans="1:1">
      <c r="A58" t="s">
        <v>145</v>
      </c>
    </row>
    <row r="60" spans="1:1">
      <c r="A60" t="s">
        <v>146</v>
      </c>
    </row>
    <row r="62" spans="1:1">
      <c r="A62" t="s">
        <v>149</v>
      </c>
    </row>
    <row r="64" spans="1:1">
      <c r="A64" t="s">
        <v>140</v>
      </c>
    </row>
    <row r="66" spans="1:1">
      <c r="A66" s="65" t="s">
        <v>147</v>
      </c>
    </row>
    <row r="68" spans="1:1">
      <c r="A68" t="s">
        <v>148</v>
      </c>
    </row>
  </sheetData>
  <mergeCells count="2">
    <mergeCell ref="A16:D16"/>
    <mergeCell ref="F16:I16"/>
  </mergeCells>
  <pageMargins left="0.75" right="0.75" top="1" bottom="1" header="0.5" footer="0.5"/>
  <pageSetup paperSize="9" scale="69" orientation="portrait"/>
  <headerFooter>
    <oddHeader>&amp;C&amp;"Arial,Bold"&amp;16Intercompany Accounting</oddHead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Intercompany Journal</vt:lpstr>
      <vt:lpstr>Instructions</vt:lpstr>
      <vt:lpstr>Intercompany Accounting</vt:lpstr>
    </vt:vector>
  </TitlesOfParts>
  <Company>Ministry of Justice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mbettis</dc:creator>
  <cp:lastModifiedBy>Josh Rowe</cp:lastModifiedBy>
  <dcterms:created xsi:type="dcterms:W3CDTF">2015-04-24T18:11:55Z</dcterms:created>
  <dcterms:modified xsi:type="dcterms:W3CDTF">2016-07-14T14:50:03Z</dcterms:modified>
</cp:coreProperties>
</file>